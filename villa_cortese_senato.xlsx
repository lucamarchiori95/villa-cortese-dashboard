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esktop\Risultati_Villa_Cortese\Elaborazione da eligendo\XLMS\"/>
    </mc:Choice>
  </mc:AlternateContent>
  <xr:revisionPtr revIDLastSave="0" documentId="13_ncr:1_{2D4C0C65-019E-4F72-9D39-1299922F1EDA}" xr6:coauthVersionLast="47" xr6:coauthVersionMax="47" xr10:uidLastSave="{00000000-0000-0000-0000-000000000000}"/>
  <bookViews>
    <workbookView xWindow="14295" yWindow="0" windowWidth="14610" windowHeight="15585" xr2:uid="{3E641E02-4284-49A3-B5DA-2AD6E351D66C}"/>
  </bookViews>
  <sheets>
    <sheet name="Villa_Cortese_senato" sheetId="2" r:id="rId1"/>
  </sheets>
  <definedNames>
    <definedName name="DatiEsterni_1" localSheetId="0" hidden="1">Villa_Cortese_senato!$B$1:$H$54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959056-70E4-4345-9515-8472756371D0}" keepAlive="1" name="Query - Villa_Cortese_senato" description="Connessione alla query 'Villa_Cortese_senato' nella cartella di lavoro." type="5" refreshedVersion="8" background="1" saveData="1">
    <dbPr connection="Provider=Microsoft.Mashup.OleDb.1;Data Source=$Workbook$;Location=Villa_Cortese_senato;Extended Properties=&quot;&quot;" command="SELECT * FROM [Villa_Cortese_senato]"/>
  </connection>
</connections>
</file>

<file path=xl/sharedStrings.xml><?xml version="1.0" encoding="utf-8"?>
<sst xmlns="http://schemas.openxmlformats.org/spreadsheetml/2006/main" count="191" uniqueCount="55">
  <si>
    <t>Data</t>
  </si>
  <si>
    <t>Ente</t>
  </si>
  <si>
    <t>Ambito</t>
  </si>
  <si>
    <t>Candidato_Riferimento</t>
  </si>
  <si>
    <t>Lista/Partito</t>
  </si>
  <si>
    <t>Voti</t>
  </si>
  <si>
    <t>Percentuale</t>
  </si>
  <si>
    <t>Villa Cortese</t>
  </si>
  <si>
    <t>Comunale</t>
  </si>
  <si>
    <t>RAUTI ISABELLA</t>
  </si>
  <si>
    <t>Voti candidato uninominale</t>
  </si>
  <si>
    <t>FRATELLI D'ITALIA CON GIORGIA MELONI</t>
  </si>
  <si>
    <t>LEGA PER SALVINI PREMIER</t>
  </si>
  <si>
    <t>FORZA ITALIA</t>
  </si>
  <si>
    <t>NOI MODERATI/LUPI - TOTI - BRUGNARO - UDC</t>
  </si>
  <si>
    <t>FIANO EMANUELE</t>
  </si>
  <si>
    <t>PARTITO DEMOCRATICO - ITALIA DEMOCRATICA E PROGRESSISTA</t>
  </si>
  <si>
    <t>ALLEANZA VERDI E SINISTRA</t>
  </si>
  <si>
    <t>+EUROPA</t>
  </si>
  <si>
    <t>IMPEGNO CIVICO LUIGI DI MAIO - CENTRO DEMOCRATICO</t>
  </si>
  <si>
    <t>DEMMA TIZIANA</t>
  </si>
  <si>
    <t>AZIONE - ITALIA VIVA - CALENDA</t>
  </si>
  <si>
    <t>SIRONI ELENA</t>
  </si>
  <si>
    <t>MOVIMENTO 5 STELLE</t>
  </si>
  <si>
    <t>MAZZA SAMANTHA</t>
  </si>
  <si>
    <t>ITALEXIT PER L'ITALIA</t>
  </si>
  <si>
    <t>VALLICELLI ALBERTO</t>
  </si>
  <si>
    <t>ITALIA SOVRANA E POPOLARE</t>
  </si>
  <si>
    <t>ROSA NADIA</t>
  </si>
  <si>
    <t>UNIONE POPOLARE CON DE MAGISTRIS</t>
  </si>
  <si>
    <t>GEMMA GIANNI</t>
  </si>
  <si>
    <t>VITA</t>
  </si>
  <si>
    <t>CORRENTI MAURIZIO</t>
  </si>
  <si>
    <t>MASTELLA NOI DI CENTRO EUROPEISTI</t>
  </si>
  <si>
    <t>Anno</t>
  </si>
  <si>
    <t>Lega</t>
  </si>
  <si>
    <t>Forza Italia</t>
  </si>
  <si>
    <t>PARTITO DEMOCRATICO</t>
  </si>
  <si>
    <t>Partito democratico</t>
  </si>
  <si>
    <t>Il popolo della libertà</t>
  </si>
  <si>
    <t>Lega Nord</t>
  </si>
  <si>
    <t>Fratelli D'italia</t>
  </si>
  <si>
    <t>Con Monti per l'Italia</t>
  </si>
  <si>
    <t>Partito Democratico</t>
  </si>
  <si>
    <t>Di Pietro Italia dei Valori</t>
  </si>
  <si>
    <t>DL La Margherita</t>
  </si>
  <si>
    <t>Democratici Sinistra</t>
  </si>
  <si>
    <t>Rifondazione Comunista</t>
  </si>
  <si>
    <t>Insieme con l'unione</t>
  </si>
  <si>
    <t>Alleanza Nazionale</t>
  </si>
  <si>
    <t>Unione di centro</t>
  </si>
  <si>
    <t>Casa delle libertà</t>
  </si>
  <si>
    <t>L'ulivo</t>
  </si>
  <si>
    <t>Alleanza lombarda autonomia</t>
  </si>
  <si>
    <t>Lista di Pietro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</si>
</sst>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0F5D5E8-35EA-46CC-B82C-7395085F4BFD}" autoFormatId="16" applyNumberFormats="0" applyBorderFormats="0" applyFontFormats="0" applyPatternFormats="0" applyAlignmentFormats="0" applyWidthHeightFormats="0">
  <queryTableRefresh nextId="8">
    <queryTableFields count="7">
      <queryTableField id="1" name="Data" tableColumnId="1"/>
      <queryTableField id="2" name="Ente" tableColumnId="2"/>
      <queryTableField id="3" name="Ambito" tableColumnId="3"/>
      <queryTableField id="4" name="Candidato_Riferimento" tableColumnId="4"/>
      <queryTableField id="5" name="Lista/Partito" tableColumnId="5"/>
      <queryTableField id="6" name="Voti" tableColumnId="6"/>
      <queryTableField id="7" name="Percentu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1F87B-828C-4DE4-B39E-14F1D582BF86}" name="Villa_Cortese_senato" displayName="Villa_Cortese_senato" ref="B1:H54" tableType="queryTable" totalsRowShown="0">
  <autoFilter ref="B1:H54" xr:uid="{0931F87B-828C-4DE4-B39E-14F1D582BF86}"/>
  <tableColumns count="7">
    <tableColumn id="1" xr3:uid="{42127335-E067-4D91-B73D-D086A9029269}" uniqueName="1" name="Data" queryTableFieldId="1" dataDxfId="4"/>
    <tableColumn id="2" xr3:uid="{F9AB453D-CA17-442A-A2C3-E9A49027D194}" uniqueName="2" name="Ente" queryTableFieldId="2" dataDxfId="3"/>
    <tableColumn id="3" xr3:uid="{F7873F94-FBE0-47BD-9715-A0A268FC6143}" uniqueName="3" name="Ambito" queryTableFieldId="3" dataDxfId="2"/>
    <tableColumn id="4" xr3:uid="{8EBCF4CE-81B5-4D15-BDBD-B26D1A160233}" uniqueName="4" name="Candidato_Riferimento" queryTableFieldId="4" dataDxfId="1"/>
    <tableColumn id="5" xr3:uid="{DBD4233A-8C14-42D1-B6CF-FBEDC9CF5C75}" uniqueName="5" name="Lista/Partito" queryTableFieldId="5" dataDxfId="0"/>
    <tableColumn id="6" xr3:uid="{527F8EC2-5578-4940-AC46-47A6385021AC}" uniqueName="6" name="Voti" queryTableFieldId="6"/>
    <tableColumn id="7" xr3:uid="{833C68DB-7FFC-4D77-AC12-4267F051A5A4}" uniqueName="7" name="Percentual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3344-C25C-40D1-9E58-102A31C5235A}">
  <dimension ref="A1:H54"/>
  <sheetViews>
    <sheetView tabSelected="1" topLeftCell="A22" workbookViewId="0">
      <selection activeCell="A51" sqref="A51:D54"/>
    </sheetView>
  </sheetViews>
  <sheetFormatPr defaultRowHeight="15" x14ac:dyDescent="0.25"/>
  <cols>
    <col min="2" max="2" width="10.42578125" bestFit="1" customWidth="1"/>
    <col min="3" max="3" width="12" bestFit="1" customWidth="1"/>
    <col min="4" max="4" width="10" bestFit="1" customWidth="1"/>
    <col min="5" max="5" width="29.42578125" bestFit="1" customWidth="1"/>
    <col min="6" max="6" width="57.85546875" bestFit="1" customWidth="1"/>
    <col min="7" max="7" width="6.85546875" bestFit="1" customWidth="1"/>
    <col min="8" max="8" width="14.140625" bestFit="1" customWidth="1"/>
  </cols>
  <sheetData>
    <row r="1" spans="1:8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f>YEAR(Villa_Cortese_senato[[#This Row],[Data]])</f>
        <v>2022</v>
      </c>
      <c r="B2" s="1">
        <v>44829</v>
      </c>
      <c r="C2" s="2" t="s">
        <v>7</v>
      </c>
      <c r="D2" s="2" t="s">
        <v>8</v>
      </c>
      <c r="E2" s="2" t="s">
        <v>9</v>
      </c>
      <c r="F2" s="2" t="s">
        <v>10</v>
      </c>
      <c r="H2">
        <v>54.24</v>
      </c>
    </row>
    <row r="3" spans="1:8" x14ac:dyDescent="0.25">
      <c r="A3">
        <f>YEAR(Villa_Cortese_senato[[#This Row],[Data]])</f>
        <v>2022</v>
      </c>
      <c r="B3" s="1">
        <v>44829</v>
      </c>
      <c r="C3" s="2" t="s">
        <v>7</v>
      </c>
      <c r="D3" s="2" t="s">
        <v>8</v>
      </c>
      <c r="E3" s="2" t="s">
        <v>9</v>
      </c>
      <c r="F3" s="2" t="s">
        <v>11</v>
      </c>
      <c r="G3">
        <v>948</v>
      </c>
      <c r="H3">
        <v>29.11</v>
      </c>
    </row>
    <row r="4" spans="1:8" x14ac:dyDescent="0.25">
      <c r="A4">
        <f>YEAR(Villa_Cortese_senato[[#This Row],[Data]])</f>
        <v>2022</v>
      </c>
      <c r="B4" s="1">
        <v>44829</v>
      </c>
      <c r="C4" s="2" t="s">
        <v>7</v>
      </c>
      <c r="D4" s="2" t="s">
        <v>8</v>
      </c>
      <c r="E4" s="2" t="s">
        <v>9</v>
      </c>
      <c r="F4" s="2" t="s">
        <v>12</v>
      </c>
      <c r="G4">
        <v>563</v>
      </c>
      <c r="H4">
        <v>17.29</v>
      </c>
    </row>
    <row r="5" spans="1:8" x14ac:dyDescent="0.25">
      <c r="A5">
        <f>YEAR(Villa_Cortese_senato[[#This Row],[Data]])</f>
        <v>2022</v>
      </c>
      <c r="B5" s="1">
        <v>44829</v>
      </c>
      <c r="C5" s="2" t="s">
        <v>7</v>
      </c>
      <c r="D5" s="2" t="s">
        <v>8</v>
      </c>
      <c r="E5" s="2" t="s">
        <v>9</v>
      </c>
      <c r="F5" s="2" t="s">
        <v>13</v>
      </c>
      <c r="G5">
        <v>266</v>
      </c>
      <c r="H5">
        <v>8.17</v>
      </c>
    </row>
    <row r="6" spans="1:8" x14ac:dyDescent="0.25">
      <c r="A6">
        <f>YEAR(Villa_Cortese_senato[[#This Row],[Data]])</f>
        <v>2022</v>
      </c>
      <c r="B6" s="1">
        <v>44829</v>
      </c>
      <c r="C6" s="2" t="s">
        <v>7</v>
      </c>
      <c r="D6" s="2" t="s">
        <v>8</v>
      </c>
      <c r="E6" s="2" t="s">
        <v>9</v>
      </c>
      <c r="F6" s="2" t="s">
        <v>14</v>
      </c>
      <c r="G6">
        <v>14</v>
      </c>
      <c r="H6">
        <v>0.43</v>
      </c>
    </row>
    <row r="7" spans="1:8" x14ac:dyDescent="0.25">
      <c r="A7">
        <f>YEAR(Villa_Cortese_senato[[#This Row],[Data]])</f>
        <v>2022</v>
      </c>
      <c r="B7" s="1">
        <v>44829</v>
      </c>
      <c r="C7" s="2" t="s">
        <v>7</v>
      </c>
      <c r="D7" s="2" t="s">
        <v>8</v>
      </c>
      <c r="E7" s="2" t="s">
        <v>15</v>
      </c>
      <c r="F7" s="2" t="s">
        <v>10</v>
      </c>
      <c r="H7">
        <v>26.46</v>
      </c>
    </row>
    <row r="8" spans="1:8" x14ac:dyDescent="0.25">
      <c r="A8">
        <f>YEAR(Villa_Cortese_senato[[#This Row],[Data]])</f>
        <v>2022</v>
      </c>
      <c r="B8" s="1">
        <v>44829</v>
      </c>
      <c r="C8" s="2" t="s">
        <v>7</v>
      </c>
      <c r="D8" s="2" t="s">
        <v>8</v>
      </c>
      <c r="E8" s="2" t="s">
        <v>15</v>
      </c>
      <c r="F8" s="2" t="s">
        <v>16</v>
      </c>
      <c r="G8">
        <v>634</v>
      </c>
      <c r="H8">
        <v>19.47</v>
      </c>
    </row>
    <row r="9" spans="1:8" x14ac:dyDescent="0.25">
      <c r="A9">
        <f>YEAR(Villa_Cortese_senato[[#This Row],[Data]])</f>
        <v>2022</v>
      </c>
      <c r="B9" s="1">
        <v>44829</v>
      </c>
      <c r="C9" s="2" t="s">
        <v>7</v>
      </c>
      <c r="D9" s="2" t="s">
        <v>8</v>
      </c>
      <c r="E9" s="2" t="s">
        <v>15</v>
      </c>
      <c r="F9" s="2" t="s">
        <v>17</v>
      </c>
      <c r="G9">
        <v>114</v>
      </c>
      <c r="H9">
        <v>3.5</v>
      </c>
    </row>
    <row r="10" spans="1:8" x14ac:dyDescent="0.25">
      <c r="A10">
        <f>YEAR(Villa_Cortese_senato[[#This Row],[Data]])</f>
        <v>2022</v>
      </c>
      <c r="B10" s="1">
        <v>44829</v>
      </c>
      <c r="C10" s="2" t="s">
        <v>7</v>
      </c>
      <c r="D10" s="2" t="s">
        <v>8</v>
      </c>
      <c r="E10" s="2" t="s">
        <v>15</v>
      </c>
      <c r="F10" s="2" t="s">
        <v>18</v>
      </c>
      <c r="G10">
        <v>87</v>
      </c>
      <c r="H10">
        <v>2.67</v>
      </c>
    </row>
    <row r="11" spans="1:8" x14ac:dyDescent="0.25">
      <c r="A11">
        <f>YEAR(Villa_Cortese_senato[[#This Row],[Data]])</f>
        <v>2022</v>
      </c>
      <c r="B11" s="1">
        <v>44829</v>
      </c>
      <c r="C11" s="2" t="s">
        <v>7</v>
      </c>
      <c r="D11" s="2" t="s">
        <v>8</v>
      </c>
      <c r="E11" s="2" t="s">
        <v>15</v>
      </c>
      <c r="F11" s="2" t="s">
        <v>19</v>
      </c>
      <c r="G11">
        <v>8</v>
      </c>
      <c r="H11">
        <v>0.25</v>
      </c>
    </row>
    <row r="12" spans="1:8" x14ac:dyDescent="0.25">
      <c r="A12">
        <f>YEAR(Villa_Cortese_senato[[#This Row],[Data]])</f>
        <v>2022</v>
      </c>
      <c r="B12" s="1">
        <v>44829</v>
      </c>
      <c r="C12" s="2" t="s">
        <v>7</v>
      </c>
      <c r="D12" s="2" t="s">
        <v>8</v>
      </c>
      <c r="E12" s="2" t="s">
        <v>20</v>
      </c>
      <c r="F12" s="2" t="s">
        <v>10</v>
      </c>
      <c r="H12">
        <v>7.34</v>
      </c>
    </row>
    <row r="13" spans="1:8" x14ac:dyDescent="0.25">
      <c r="A13">
        <f>YEAR(Villa_Cortese_senato[[#This Row],[Data]])</f>
        <v>2022</v>
      </c>
      <c r="B13" s="1">
        <v>44829</v>
      </c>
      <c r="C13" s="2" t="s">
        <v>7</v>
      </c>
      <c r="D13" s="2" t="s">
        <v>8</v>
      </c>
      <c r="E13" s="2" t="s">
        <v>20</v>
      </c>
      <c r="F13" s="2" t="s">
        <v>21</v>
      </c>
      <c r="G13">
        <v>232</v>
      </c>
      <c r="H13">
        <v>7.12</v>
      </c>
    </row>
    <row r="14" spans="1:8" x14ac:dyDescent="0.25">
      <c r="A14">
        <f>YEAR(Villa_Cortese_senato[[#This Row],[Data]])</f>
        <v>2022</v>
      </c>
      <c r="B14" s="1">
        <v>44829</v>
      </c>
      <c r="C14" s="2" t="s">
        <v>7</v>
      </c>
      <c r="D14" s="2" t="s">
        <v>8</v>
      </c>
      <c r="E14" s="2" t="s">
        <v>22</v>
      </c>
      <c r="F14" s="2" t="s">
        <v>10</v>
      </c>
      <c r="H14">
        <v>6.67</v>
      </c>
    </row>
    <row r="15" spans="1:8" x14ac:dyDescent="0.25">
      <c r="A15">
        <f>YEAR(Villa_Cortese_senato[[#This Row],[Data]])</f>
        <v>2022</v>
      </c>
      <c r="B15" s="1">
        <v>44829</v>
      </c>
      <c r="C15" s="2" t="s">
        <v>7</v>
      </c>
      <c r="D15" s="2" t="s">
        <v>8</v>
      </c>
      <c r="E15" s="2" t="s">
        <v>22</v>
      </c>
      <c r="F15" s="2" t="s">
        <v>23</v>
      </c>
      <c r="G15">
        <v>218</v>
      </c>
      <c r="H15">
        <v>6.69</v>
      </c>
    </row>
    <row r="16" spans="1:8" x14ac:dyDescent="0.25">
      <c r="A16">
        <f>YEAR(Villa_Cortese_senato[[#This Row],[Data]])</f>
        <v>2022</v>
      </c>
      <c r="B16" s="1">
        <v>44829</v>
      </c>
      <c r="C16" s="2" t="s">
        <v>7</v>
      </c>
      <c r="D16" s="2" t="s">
        <v>8</v>
      </c>
      <c r="E16" s="2" t="s">
        <v>24</v>
      </c>
      <c r="F16" s="2" t="s">
        <v>10</v>
      </c>
      <c r="H16">
        <v>1.72</v>
      </c>
    </row>
    <row r="17" spans="1:8" x14ac:dyDescent="0.25">
      <c r="A17">
        <f>YEAR(Villa_Cortese_senato[[#This Row],[Data]])</f>
        <v>2022</v>
      </c>
      <c r="B17" s="1">
        <v>44829</v>
      </c>
      <c r="C17" s="2" t="s">
        <v>7</v>
      </c>
      <c r="D17" s="2" t="s">
        <v>8</v>
      </c>
      <c r="E17" s="2" t="s">
        <v>24</v>
      </c>
      <c r="F17" s="2" t="s">
        <v>25</v>
      </c>
      <c r="G17">
        <v>57</v>
      </c>
      <c r="H17">
        <v>1.75</v>
      </c>
    </row>
    <row r="18" spans="1:8" x14ac:dyDescent="0.25">
      <c r="A18">
        <f>YEAR(Villa_Cortese_senato[[#This Row],[Data]])</f>
        <v>2022</v>
      </c>
      <c r="B18" s="1">
        <v>44829</v>
      </c>
      <c r="C18" s="2" t="s">
        <v>7</v>
      </c>
      <c r="D18" s="2" t="s">
        <v>8</v>
      </c>
      <c r="E18" s="2" t="s">
        <v>26</v>
      </c>
      <c r="F18" s="2" t="s">
        <v>10</v>
      </c>
      <c r="H18">
        <v>1.51</v>
      </c>
    </row>
    <row r="19" spans="1:8" x14ac:dyDescent="0.25">
      <c r="A19">
        <f>YEAR(Villa_Cortese_senato[[#This Row],[Data]])</f>
        <v>2022</v>
      </c>
      <c r="B19" s="1">
        <v>44829</v>
      </c>
      <c r="C19" s="2" t="s">
        <v>7</v>
      </c>
      <c r="D19" s="2" t="s">
        <v>8</v>
      </c>
      <c r="E19" s="2" t="s">
        <v>26</v>
      </c>
      <c r="F19" s="2" t="s">
        <v>27</v>
      </c>
      <c r="G19">
        <v>51</v>
      </c>
      <c r="H19">
        <v>1.57</v>
      </c>
    </row>
    <row r="20" spans="1:8" x14ac:dyDescent="0.25">
      <c r="A20">
        <f>YEAR(Villa_Cortese_senato[[#This Row],[Data]])</f>
        <v>2022</v>
      </c>
      <c r="B20" s="1">
        <v>44829</v>
      </c>
      <c r="C20" s="2" t="s">
        <v>7</v>
      </c>
      <c r="D20" s="2" t="s">
        <v>8</v>
      </c>
      <c r="E20" s="2" t="s">
        <v>28</v>
      </c>
      <c r="F20" s="2" t="s">
        <v>10</v>
      </c>
      <c r="H20">
        <v>1.1599999999999999</v>
      </c>
    </row>
    <row r="21" spans="1:8" x14ac:dyDescent="0.25">
      <c r="A21">
        <f>YEAR(Villa_Cortese_senato[[#This Row],[Data]])</f>
        <v>2022</v>
      </c>
      <c r="B21" s="1">
        <v>44829</v>
      </c>
      <c r="C21" s="2" t="s">
        <v>7</v>
      </c>
      <c r="D21" s="2" t="s">
        <v>8</v>
      </c>
      <c r="E21" s="2" t="s">
        <v>28</v>
      </c>
      <c r="F21" s="2" t="s">
        <v>29</v>
      </c>
      <c r="G21">
        <v>37</v>
      </c>
      <c r="H21">
        <v>1.1399999999999999</v>
      </c>
    </row>
    <row r="22" spans="1:8" x14ac:dyDescent="0.25">
      <c r="A22">
        <f>YEAR(Villa_Cortese_senato[[#This Row],[Data]])</f>
        <v>2022</v>
      </c>
      <c r="B22" s="1">
        <v>44829</v>
      </c>
      <c r="C22" s="2" t="s">
        <v>7</v>
      </c>
      <c r="D22" s="2" t="s">
        <v>8</v>
      </c>
      <c r="E22" s="2" t="s">
        <v>30</v>
      </c>
      <c r="F22" s="2" t="s">
        <v>10</v>
      </c>
      <c r="H22">
        <v>0.55000000000000004</v>
      </c>
    </row>
    <row r="23" spans="1:8" x14ac:dyDescent="0.25">
      <c r="A23">
        <f>YEAR(Villa_Cortese_senato[[#This Row],[Data]])</f>
        <v>2022</v>
      </c>
      <c r="B23" s="1">
        <v>44829</v>
      </c>
      <c r="C23" s="2" t="s">
        <v>7</v>
      </c>
      <c r="D23" s="2" t="s">
        <v>8</v>
      </c>
      <c r="E23" s="2" t="s">
        <v>30</v>
      </c>
      <c r="F23" s="2" t="s">
        <v>31</v>
      </c>
      <c r="G23">
        <v>17</v>
      </c>
      <c r="H23">
        <v>0.52</v>
      </c>
    </row>
    <row r="24" spans="1:8" x14ac:dyDescent="0.25">
      <c r="A24">
        <f>YEAR(Villa_Cortese_senato[[#This Row],[Data]])</f>
        <v>2022</v>
      </c>
      <c r="B24" s="1">
        <v>44829</v>
      </c>
      <c r="C24" s="2" t="s">
        <v>7</v>
      </c>
      <c r="D24" s="2" t="s">
        <v>8</v>
      </c>
      <c r="E24" s="2" t="s">
        <v>32</v>
      </c>
      <c r="F24" s="2" t="s">
        <v>10</v>
      </c>
      <c r="H24">
        <v>0.35</v>
      </c>
    </row>
    <row r="25" spans="1:8" x14ac:dyDescent="0.25">
      <c r="A25">
        <f>YEAR(Villa_Cortese_senato[[#This Row],[Data]])</f>
        <v>2022</v>
      </c>
      <c r="B25" s="1">
        <v>44829</v>
      </c>
      <c r="C25" s="2" t="s">
        <v>7</v>
      </c>
      <c r="D25" s="2" t="s">
        <v>8</v>
      </c>
      <c r="E25" s="2" t="s">
        <v>32</v>
      </c>
      <c r="F25" s="2" t="s">
        <v>33</v>
      </c>
      <c r="G25">
        <v>11</v>
      </c>
      <c r="H25">
        <v>0.34</v>
      </c>
    </row>
    <row r="26" spans="1:8" x14ac:dyDescent="0.25">
      <c r="A26">
        <v>2018</v>
      </c>
      <c r="B26" s="1">
        <v>43163</v>
      </c>
      <c r="C26" s="2" t="s">
        <v>7</v>
      </c>
      <c r="D26" s="2" t="s">
        <v>8</v>
      </c>
      <c r="E26" s="2"/>
      <c r="F26" s="2" t="s">
        <v>35</v>
      </c>
      <c r="G26">
        <v>1123</v>
      </c>
      <c r="H26">
        <v>31.79</v>
      </c>
    </row>
    <row r="27" spans="1:8" x14ac:dyDescent="0.25">
      <c r="A27">
        <v>2018</v>
      </c>
      <c r="B27" s="1">
        <v>43163</v>
      </c>
      <c r="C27" s="2" t="s">
        <v>7</v>
      </c>
      <c r="D27" s="2" t="s">
        <v>8</v>
      </c>
      <c r="E27" s="2"/>
      <c r="F27" s="2" t="s">
        <v>36</v>
      </c>
      <c r="G27">
        <v>483</v>
      </c>
      <c r="H27">
        <v>13.67</v>
      </c>
    </row>
    <row r="28" spans="1:8" x14ac:dyDescent="0.25">
      <c r="A28">
        <v>2018</v>
      </c>
      <c r="B28" s="1">
        <v>43163</v>
      </c>
      <c r="C28" s="2" t="s">
        <v>7</v>
      </c>
      <c r="D28" s="2" t="s">
        <v>8</v>
      </c>
      <c r="E28" s="2"/>
      <c r="F28" s="2" t="s">
        <v>11</v>
      </c>
      <c r="G28">
        <v>112</v>
      </c>
      <c r="H28">
        <v>3.17</v>
      </c>
    </row>
    <row r="29" spans="1:8" x14ac:dyDescent="0.25">
      <c r="A29">
        <v>2018</v>
      </c>
      <c r="B29" s="1">
        <v>43163</v>
      </c>
      <c r="C29" s="2" t="s">
        <v>7</v>
      </c>
      <c r="D29" s="2" t="s">
        <v>8</v>
      </c>
      <c r="E29" s="2"/>
      <c r="F29" s="2" t="s">
        <v>37</v>
      </c>
      <c r="G29">
        <v>774</v>
      </c>
      <c r="H29">
        <v>21.91</v>
      </c>
    </row>
    <row r="30" spans="1:8" x14ac:dyDescent="0.25">
      <c r="A30">
        <v>2018</v>
      </c>
      <c r="B30" s="1">
        <v>43163</v>
      </c>
      <c r="C30" s="2" t="s">
        <v>7</v>
      </c>
      <c r="D30" s="2" t="s">
        <v>8</v>
      </c>
      <c r="E30" s="2"/>
      <c r="F30" s="2" t="s">
        <v>23</v>
      </c>
      <c r="G30">
        <v>723</v>
      </c>
      <c r="H30">
        <v>20.46</v>
      </c>
    </row>
    <row r="31" spans="1:8" x14ac:dyDescent="0.25">
      <c r="A31">
        <v>2013</v>
      </c>
      <c r="B31" s="1">
        <v>41329</v>
      </c>
      <c r="C31" s="2" t="s">
        <v>7</v>
      </c>
      <c r="D31" s="2" t="s">
        <v>8</v>
      </c>
      <c r="E31" s="2"/>
      <c r="F31" s="2" t="s">
        <v>38</v>
      </c>
      <c r="G31">
        <v>952</v>
      </c>
      <c r="H31">
        <v>26.16</v>
      </c>
    </row>
    <row r="32" spans="1:8" x14ac:dyDescent="0.25">
      <c r="A32">
        <v>2013</v>
      </c>
      <c r="B32" s="1">
        <v>41329</v>
      </c>
      <c r="C32" s="2" t="s">
        <v>7</v>
      </c>
      <c r="D32" s="2" t="s">
        <v>8</v>
      </c>
      <c r="E32" s="2"/>
      <c r="F32" s="2" t="s">
        <v>39</v>
      </c>
      <c r="G32">
        <v>726</v>
      </c>
      <c r="H32">
        <v>19.95</v>
      </c>
    </row>
    <row r="33" spans="1:8" x14ac:dyDescent="0.25">
      <c r="A33">
        <v>2013</v>
      </c>
      <c r="B33" s="1">
        <v>41329</v>
      </c>
      <c r="C33" s="2" t="s">
        <v>7</v>
      </c>
      <c r="D33" s="2" t="s">
        <v>8</v>
      </c>
      <c r="E33" s="2"/>
      <c r="F33" s="2" t="s">
        <v>40</v>
      </c>
      <c r="G33">
        <v>605</v>
      </c>
      <c r="H33">
        <v>16.63</v>
      </c>
    </row>
    <row r="34" spans="1:8" x14ac:dyDescent="0.25">
      <c r="A34">
        <v>2013</v>
      </c>
      <c r="B34" s="1">
        <v>41329</v>
      </c>
      <c r="C34" s="2" t="s">
        <v>7</v>
      </c>
      <c r="D34" s="2" t="s">
        <v>8</v>
      </c>
      <c r="E34" s="2"/>
      <c r="F34" s="2" t="s">
        <v>41</v>
      </c>
      <c r="G34">
        <v>41</v>
      </c>
      <c r="H34">
        <v>1.1299999999999999</v>
      </c>
    </row>
    <row r="35" spans="1:8" x14ac:dyDescent="0.25">
      <c r="A35">
        <v>2013</v>
      </c>
      <c r="B35" s="1">
        <v>41329</v>
      </c>
      <c r="C35" s="2" t="s">
        <v>7</v>
      </c>
      <c r="D35" s="2" t="s">
        <v>8</v>
      </c>
      <c r="E35" s="2"/>
      <c r="F35" s="2" t="s">
        <v>23</v>
      </c>
      <c r="G35">
        <v>605</v>
      </c>
      <c r="H35">
        <v>16.63</v>
      </c>
    </row>
    <row r="36" spans="1:8" x14ac:dyDescent="0.25">
      <c r="A36">
        <v>2013</v>
      </c>
      <c r="B36" s="1">
        <v>41329</v>
      </c>
      <c r="C36" s="2" t="s">
        <v>7</v>
      </c>
      <c r="D36" s="2" t="s">
        <v>8</v>
      </c>
      <c r="E36" s="2"/>
      <c r="F36" s="2" t="s">
        <v>42</v>
      </c>
      <c r="G36">
        <v>420</v>
      </c>
      <c r="H36">
        <v>11.54</v>
      </c>
    </row>
    <row r="37" spans="1:8" x14ac:dyDescent="0.25">
      <c r="A37">
        <v>2008</v>
      </c>
      <c r="B37" s="1">
        <v>39551</v>
      </c>
      <c r="C37" s="2" t="s">
        <v>7</v>
      </c>
      <c r="D37" s="2" t="s">
        <v>8</v>
      </c>
      <c r="E37" s="2"/>
      <c r="F37" s="2" t="s">
        <v>43</v>
      </c>
      <c r="G37">
        <v>1069</v>
      </c>
      <c r="H37">
        <v>27.21</v>
      </c>
    </row>
    <row r="38" spans="1:8" x14ac:dyDescent="0.25">
      <c r="A38">
        <v>2008</v>
      </c>
      <c r="B38" s="1">
        <v>39551</v>
      </c>
      <c r="C38" s="2" t="s">
        <v>7</v>
      </c>
      <c r="D38" s="2" t="s">
        <v>8</v>
      </c>
      <c r="E38" s="2"/>
      <c r="F38" s="2" t="s">
        <v>44</v>
      </c>
      <c r="G38">
        <v>151</v>
      </c>
      <c r="H38">
        <v>3.84</v>
      </c>
    </row>
    <row r="39" spans="1:8" x14ac:dyDescent="0.25">
      <c r="A39">
        <v>2008</v>
      </c>
      <c r="B39" s="1">
        <v>39551</v>
      </c>
      <c r="C39" s="2" t="s">
        <v>7</v>
      </c>
      <c r="D39" s="2" t="s">
        <v>8</v>
      </c>
      <c r="E39" s="2"/>
      <c r="F39" s="2" t="s">
        <v>39</v>
      </c>
      <c r="G39">
        <v>1307</v>
      </c>
      <c r="H39">
        <v>33.270000000000003</v>
      </c>
    </row>
    <row r="40" spans="1:8" x14ac:dyDescent="0.25">
      <c r="A40">
        <v>2008</v>
      </c>
      <c r="B40" s="1">
        <v>39551</v>
      </c>
      <c r="C40" s="2" t="s">
        <v>7</v>
      </c>
      <c r="D40" s="2" t="s">
        <v>8</v>
      </c>
      <c r="E40" s="2"/>
      <c r="F40" s="2" t="s">
        <v>40</v>
      </c>
      <c r="G40">
        <v>852</v>
      </c>
      <c r="H40">
        <v>21.68</v>
      </c>
    </row>
    <row r="41" spans="1:8" x14ac:dyDescent="0.25">
      <c r="A41">
        <v>2006</v>
      </c>
      <c r="B41" s="1">
        <v>38816</v>
      </c>
      <c r="C41" s="2" t="s">
        <v>7</v>
      </c>
      <c r="D41" s="2" t="s">
        <v>8</v>
      </c>
      <c r="E41" s="2"/>
      <c r="F41" s="2" t="s">
        <v>45</v>
      </c>
      <c r="G41">
        <v>468</v>
      </c>
      <c r="H41">
        <v>11.6</v>
      </c>
    </row>
    <row r="42" spans="1:8" x14ac:dyDescent="0.25">
      <c r="A42">
        <v>2006</v>
      </c>
      <c r="B42" s="1">
        <v>38816</v>
      </c>
      <c r="C42" s="2" t="s">
        <v>7</v>
      </c>
      <c r="D42" s="2" t="s">
        <v>8</v>
      </c>
      <c r="E42" s="2"/>
      <c r="F42" s="2" t="s">
        <v>46</v>
      </c>
      <c r="G42">
        <v>357</v>
      </c>
      <c r="H42">
        <v>8.85</v>
      </c>
    </row>
    <row r="43" spans="1:8" x14ac:dyDescent="0.25">
      <c r="A43">
        <v>2006</v>
      </c>
      <c r="B43" s="1">
        <v>38816</v>
      </c>
      <c r="C43" s="2" t="s">
        <v>7</v>
      </c>
      <c r="D43" s="2" t="s">
        <v>8</v>
      </c>
      <c r="E43" s="2"/>
      <c r="F43" s="2" t="s">
        <v>47</v>
      </c>
      <c r="G43">
        <v>311</v>
      </c>
      <c r="H43">
        <v>7.71</v>
      </c>
    </row>
    <row r="44" spans="1:8" x14ac:dyDescent="0.25">
      <c r="A44">
        <v>2006</v>
      </c>
      <c r="B44" s="1">
        <v>38816</v>
      </c>
      <c r="C44" s="2" t="s">
        <v>7</v>
      </c>
      <c r="D44" s="2" t="s">
        <v>8</v>
      </c>
      <c r="E44" s="2"/>
      <c r="F44" s="2" t="s">
        <v>48</v>
      </c>
      <c r="G44">
        <v>230</v>
      </c>
      <c r="H44">
        <v>5.7</v>
      </c>
    </row>
    <row r="45" spans="1:8" x14ac:dyDescent="0.25">
      <c r="A45">
        <v>2006</v>
      </c>
      <c r="B45" s="1">
        <v>38816</v>
      </c>
      <c r="C45" s="2" t="s">
        <v>7</v>
      </c>
      <c r="D45" s="2" t="s">
        <v>8</v>
      </c>
      <c r="E45" s="2"/>
      <c r="F45" s="2" t="s">
        <v>44</v>
      </c>
      <c r="G45">
        <v>143</v>
      </c>
      <c r="H45">
        <v>3.54</v>
      </c>
    </row>
    <row r="46" spans="1:8" x14ac:dyDescent="0.25">
      <c r="A46">
        <v>2006</v>
      </c>
      <c r="B46" s="1">
        <v>38816</v>
      </c>
      <c r="C46" s="2" t="s">
        <v>7</v>
      </c>
      <c r="D46" s="2" t="s">
        <v>8</v>
      </c>
      <c r="E46" s="2"/>
      <c r="F46" s="2" t="s">
        <v>13</v>
      </c>
      <c r="G46">
        <v>1057</v>
      </c>
      <c r="H46">
        <v>26.2</v>
      </c>
    </row>
    <row r="47" spans="1:8" x14ac:dyDescent="0.25">
      <c r="A47">
        <v>2006</v>
      </c>
      <c r="B47" s="1">
        <v>38816</v>
      </c>
      <c r="C47" s="2" t="s">
        <v>7</v>
      </c>
      <c r="D47" s="2" t="s">
        <v>8</v>
      </c>
      <c r="E47" s="2"/>
      <c r="F47" s="2" t="s">
        <v>40</v>
      </c>
      <c r="G47">
        <v>454</v>
      </c>
      <c r="H47">
        <v>11.25</v>
      </c>
    </row>
    <row r="48" spans="1:8" x14ac:dyDescent="0.25">
      <c r="A48">
        <v>2006</v>
      </c>
      <c r="B48" s="1">
        <v>38816</v>
      </c>
      <c r="C48" s="2" t="s">
        <v>7</v>
      </c>
      <c r="D48" s="2" t="s">
        <v>8</v>
      </c>
      <c r="E48" s="2"/>
      <c r="F48" s="2" t="s">
        <v>49</v>
      </c>
      <c r="G48">
        <v>366</v>
      </c>
      <c r="H48">
        <v>9.07</v>
      </c>
    </row>
    <row r="49" spans="1:8" x14ac:dyDescent="0.25">
      <c r="A49">
        <v>2006</v>
      </c>
      <c r="B49" s="1">
        <v>38816</v>
      </c>
      <c r="C49" s="2" t="s">
        <v>7</v>
      </c>
      <c r="D49" s="2" t="s">
        <v>8</v>
      </c>
      <c r="E49" s="2"/>
      <c r="F49" s="2" t="s">
        <v>50</v>
      </c>
      <c r="G49">
        <v>244</v>
      </c>
      <c r="H49">
        <v>6.05</v>
      </c>
    </row>
    <row r="50" spans="1:8" x14ac:dyDescent="0.25">
      <c r="A50">
        <v>2001</v>
      </c>
      <c r="B50" s="1">
        <v>37024</v>
      </c>
      <c r="C50" s="2" t="s">
        <v>7</v>
      </c>
      <c r="D50" s="2" t="s">
        <v>8</v>
      </c>
      <c r="E50" s="2"/>
      <c r="F50" s="2" t="s">
        <v>51</v>
      </c>
      <c r="G50">
        <v>1647</v>
      </c>
      <c r="H50">
        <v>42.2</v>
      </c>
    </row>
    <row r="51" spans="1:8" x14ac:dyDescent="0.25">
      <c r="A51">
        <v>2001</v>
      </c>
      <c r="B51" s="1">
        <v>37024</v>
      </c>
      <c r="C51" s="2" t="s">
        <v>7</v>
      </c>
      <c r="D51" s="2" t="s">
        <v>8</v>
      </c>
      <c r="E51" s="2"/>
      <c r="F51" s="2" t="s">
        <v>52</v>
      </c>
      <c r="G51">
        <v>1378</v>
      </c>
      <c r="H51">
        <v>35.31</v>
      </c>
    </row>
    <row r="52" spans="1:8" x14ac:dyDescent="0.25">
      <c r="A52">
        <v>2001</v>
      </c>
      <c r="B52" s="1">
        <v>37024</v>
      </c>
      <c r="C52" s="2" t="s">
        <v>7</v>
      </c>
      <c r="D52" s="2" t="s">
        <v>8</v>
      </c>
      <c r="E52" s="2"/>
      <c r="F52" s="2" t="s">
        <v>53</v>
      </c>
      <c r="G52">
        <v>244</v>
      </c>
      <c r="H52">
        <v>6.25</v>
      </c>
    </row>
    <row r="53" spans="1:8" x14ac:dyDescent="0.25">
      <c r="A53">
        <v>2001</v>
      </c>
      <c r="B53" s="1">
        <v>37024</v>
      </c>
      <c r="C53" s="2" t="s">
        <v>7</v>
      </c>
      <c r="D53" s="2" t="s">
        <v>8</v>
      </c>
      <c r="E53" s="2"/>
      <c r="F53" s="2" t="s">
        <v>47</v>
      </c>
      <c r="G53">
        <v>173</v>
      </c>
      <c r="H53">
        <v>4.43</v>
      </c>
    </row>
    <row r="54" spans="1:8" x14ac:dyDescent="0.25">
      <c r="A54">
        <v>2001</v>
      </c>
      <c r="B54" s="1">
        <v>37024</v>
      </c>
      <c r="C54" s="2" t="s">
        <v>7</v>
      </c>
      <c r="D54" s="2" t="s">
        <v>8</v>
      </c>
      <c r="E54" s="2"/>
      <c r="F54" s="2" t="s">
        <v>54</v>
      </c>
      <c r="G54">
        <v>137</v>
      </c>
      <c r="H54">
        <v>3.51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1DB1C3-83F0-4A70-948A-5AC9B1B6EA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Villa_Cortese_senato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Marchiori</dc:creator>
  <cp:lastModifiedBy>Luca Marchiori</cp:lastModifiedBy>
  <dcterms:created xsi:type="dcterms:W3CDTF">2026-05-08T16:39:00Z</dcterms:created>
  <dcterms:modified xsi:type="dcterms:W3CDTF">2026-05-09T13:15:59Z</dcterms:modified>
</cp:coreProperties>
</file>