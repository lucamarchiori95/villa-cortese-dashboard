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Risultati_Villa_Cortese\Elaborazione da eligendo\XLMS\"/>
    </mc:Choice>
  </mc:AlternateContent>
  <xr:revisionPtr revIDLastSave="0" documentId="13_ncr:1_{81DE7DBB-D2DB-4629-90C3-5A3D758B1EC4}" xr6:coauthVersionLast="47" xr6:coauthVersionMax="47" xr10:uidLastSave="{00000000-0000-0000-0000-000000000000}"/>
  <bookViews>
    <workbookView xWindow="-120" yWindow="-120" windowWidth="29040" windowHeight="15720" xr2:uid="{98808E14-7970-43CD-8E32-40F820ED56DD}"/>
  </bookViews>
  <sheets>
    <sheet name="Villa_Cortese_comunali" sheetId="2" r:id="rId1"/>
  </sheets>
  <definedNames>
    <definedName name="DatiEsterni_1" localSheetId="0" hidden="1">Villa_Cortese_comunali!$B$1:$F$17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54829-F8B7-47DF-888E-4F15CE5013C2}" keepAlive="1" name="Query - Villa_Cortese_comunali" description="Connessione alla query 'Villa_Cortese_comunali' nella cartella di lavoro." type="5" refreshedVersion="8" background="1" saveData="1">
    <dbPr connection="Provider=Microsoft.Mashup.OleDb.1;Data Source=$Workbook$;Location=Villa_Cortese_comunali;Extended Properties=&quot;&quot;" command="SELECT * FROM [Villa_Cortese_comunali]"/>
  </connection>
</connections>
</file>

<file path=xl/sharedStrings.xml><?xml version="1.0" encoding="utf-8"?>
<sst xmlns="http://schemas.openxmlformats.org/spreadsheetml/2006/main" count="38" uniqueCount="19">
  <si>
    <t>Data</t>
  </si>
  <si>
    <t>Ente</t>
  </si>
  <si>
    <t>Lista/Partito</t>
  </si>
  <si>
    <t>Voti</t>
  </si>
  <si>
    <t>Percentuale</t>
  </si>
  <si>
    <t>Villa Cortese</t>
  </si>
  <si>
    <t>INSIEME PER VILLA</t>
  </si>
  <si>
    <t>FORZA ITALIA-LEGA SALVINI LOMBARDIA-FRATELLI D'ITALIA</t>
  </si>
  <si>
    <t>NUOVAMENTE VILLA</t>
  </si>
  <si>
    <t>IL POPOLO DELLA LIBERTA' - LEGA NORD</t>
  </si>
  <si>
    <t>INSIEME</t>
  </si>
  <si>
    <t>LISTA CIVICA</t>
  </si>
  <si>
    <t>CEN-SIN(LS.CIVICHE)</t>
  </si>
  <si>
    <t>CENTRO</t>
  </si>
  <si>
    <t>LEGA NORD</t>
  </si>
  <si>
    <t>LEGA LOMBARDA</t>
  </si>
  <si>
    <t>DC</t>
  </si>
  <si>
    <t>MISTA DI SINISTRA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</si>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</sst>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015AB10-EED6-4BC2-AC5B-A83C4CE508E9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Ente" tableColumnId="2"/>
      <queryTableField id="3" name="Lista/Partito" tableColumnId="3"/>
      <queryTableField id="4" name="Voti" tableColumnId="4"/>
      <queryTableField id="5" name="Percentua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F02B0-5AC1-44A0-9CBB-9D0CCBF3AE9F}" name="Villa_Cortese_comunali" displayName="Villa_Cortese_comunali" ref="B1:F17" tableType="queryTable" totalsRowShown="0">
  <autoFilter ref="B1:F17" xr:uid="{256F02B0-5AC1-44A0-9CBB-9D0CCBF3AE9F}"/>
  <tableColumns count="5">
    <tableColumn id="1" xr3:uid="{37939F5E-42C9-447D-B875-47F0EFBCA9F7}" uniqueName="1" name="Data" queryTableFieldId="1" dataDxfId="2"/>
    <tableColumn id="2" xr3:uid="{946A1A5A-A3DE-4197-9616-CCE33CDC7A2A}" uniqueName="2" name="Ente" queryTableFieldId="2" dataDxfId="1"/>
    <tableColumn id="3" xr3:uid="{6C00B613-602A-4C7B-8262-8AB896ACCFEF}" uniqueName="3" name="Lista/Partito" queryTableFieldId="3" dataDxfId="0"/>
    <tableColumn id="4" xr3:uid="{E0CF7539-8B96-4D9E-AEB1-9814BC765D67}" uniqueName="4" name="Voti" queryTableFieldId="4"/>
    <tableColumn id="5" xr3:uid="{BB320C06-F458-4024-BC9A-9544612E5582}" uniqueName="5" name="Percentual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AF5F-EE15-4117-82F4-A17F5D9E71C1}">
  <dimension ref="A1:F17"/>
  <sheetViews>
    <sheetView tabSelected="1" workbookViewId="0">
      <selection activeCell="C22" sqref="C22"/>
    </sheetView>
  </sheetViews>
  <sheetFormatPr defaultRowHeight="15" x14ac:dyDescent="0.25"/>
  <cols>
    <col min="2" max="2" width="10.42578125" bestFit="1" customWidth="1"/>
    <col min="3" max="3" width="12" bestFit="1" customWidth="1"/>
    <col min="4" max="4" width="52.42578125" bestFit="1" customWidth="1"/>
    <col min="5" max="5" width="6.85546875" bestFit="1" customWidth="1"/>
    <col min="6" max="6" width="14.140625" bestFit="1" customWidth="1"/>
  </cols>
  <sheetData>
    <row r="1" spans="1:6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f>YEAR(Villa_Cortese_comunali[[#This Row],[Data]])</f>
        <v>2021</v>
      </c>
      <c r="B2" s="1">
        <v>44472</v>
      </c>
      <c r="C2" s="2" t="s">
        <v>5</v>
      </c>
      <c r="D2" s="2" t="s">
        <v>6</v>
      </c>
      <c r="E2">
        <v>2017</v>
      </c>
      <c r="F2">
        <v>67.39</v>
      </c>
    </row>
    <row r="3" spans="1:6" x14ac:dyDescent="0.25">
      <c r="A3">
        <f>YEAR(Villa_Cortese_comunali[[#This Row],[Data]])</f>
        <v>2021</v>
      </c>
      <c r="B3" s="1">
        <v>44472</v>
      </c>
      <c r="C3" s="2" t="s">
        <v>5</v>
      </c>
      <c r="D3" s="2" t="s">
        <v>7</v>
      </c>
      <c r="E3">
        <v>976</v>
      </c>
      <c r="F3">
        <v>32.61</v>
      </c>
    </row>
    <row r="4" spans="1:6" x14ac:dyDescent="0.25">
      <c r="A4">
        <f>YEAR(Villa_Cortese_comunali[[#This Row],[Data]])</f>
        <v>2016</v>
      </c>
      <c r="B4" s="1">
        <v>42526</v>
      </c>
      <c r="C4" s="2" t="s">
        <v>5</v>
      </c>
      <c r="D4" s="2" t="s">
        <v>6</v>
      </c>
      <c r="E4">
        <v>1819</v>
      </c>
      <c r="F4">
        <v>55.68</v>
      </c>
    </row>
    <row r="5" spans="1:6" x14ac:dyDescent="0.25">
      <c r="A5">
        <f>YEAR(Villa_Cortese_comunali[[#This Row],[Data]])</f>
        <v>2016</v>
      </c>
      <c r="B5" s="1">
        <v>42526</v>
      </c>
      <c r="C5" s="2" t="s">
        <v>5</v>
      </c>
      <c r="D5" s="2" t="s">
        <v>8</v>
      </c>
      <c r="E5">
        <v>1448</v>
      </c>
      <c r="F5">
        <v>44.32</v>
      </c>
    </row>
    <row r="6" spans="1:6" x14ac:dyDescent="0.25">
      <c r="A6">
        <f>YEAR(Villa_Cortese_comunali[[#This Row],[Data]])</f>
        <v>2011</v>
      </c>
      <c r="B6" s="1">
        <v>40678</v>
      </c>
      <c r="C6" s="2" t="s">
        <v>5</v>
      </c>
      <c r="D6" s="2" t="s">
        <v>6</v>
      </c>
      <c r="E6">
        <v>1945</v>
      </c>
      <c r="F6">
        <v>52.74</v>
      </c>
    </row>
    <row r="7" spans="1:6" x14ac:dyDescent="0.25">
      <c r="A7">
        <f>YEAR(Villa_Cortese_comunali[[#This Row],[Data]])</f>
        <v>2011</v>
      </c>
      <c r="B7" s="1">
        <v>40678</v>
      </c>
      <c r="C7" s="2" t="s">
        <v>5</v>
      </c>
      <c r="D7" s="2" t="s">
        <v>9</v>
      </c>
      <c r="E7">
        <v>1743</v>
      </c>
      <c r="F7">
        <v>47.26</v>
      </c>
    </row>
    <row r="8" spans="1:6" x14ac:dyDescent="0.25">
      <c r="A8">
        <f>YEAR(Villa_Cortese_comunali[[#This Row],[Data]])</f>
        <v>2006</v>
      </c>
      <c r="B8" s="1">
        <v>38865</v>
      </c>
      <c r="C8" s="2" t="s">
        <v>5</v>
      </c>
      <c r="D8" s="2" t="s">
        <v>10</v>
      </c>
      <c r="E8">
        <v>1938</v>
      </c>
      <c r="F8">
        <v>52.61</v>
      </c>
    </row>
    <row r="9" spans="1:6" x14ac:dyDescent="0.25">
      <c r="A9">
        <f>YEAR(Villa_Cortese_comunali[[#This Row],[Data]])</f>
        <v>2006</v>
      </c>
      <c r="B9" s="1">
        <v>38865</v>
      </c>
      <c r="C9" s="2" t="s">
        <v>5</v>
      </c>
      <c r="D9" s="2" t="s">
        <v>11</v>
      </c>
      <c r="E9">
        <v>1746</v>
      </c>
      <c r="F9">
        <v>47.39</v>
      </c>
    </row>
    <row r="10" spans="1:6" x14ac:dyDescent="0.25">
      <c r="A10">
        <f>YEAR(Villa_Cortese_comunali[[#This Row],[Data]])</f>
        <v>2001</v>
      </c>
      <c r="B10" s="1">
        <v>37024</v>
      </c>
      <c r="C10" s="2" t="s">
        <v>5</v>
      </c>
      <c r="D10" s="2" t="s">
        <v>11</v>
      </c>
      <c r="E10">
        <v>2554</v>
      </c>
      <c r="F10">
        <v>58.39</v>
      </c>
    </row>
    <row r="11" spans="1:6" x14ac:dyDescent="0.25">
      <c r="A11">
        <f>YEAR(Villa_Cortese_comunali[[#This Row],[Data]])</f>
        <v>2001</v>
      </c>
      <c r="B11" s="1">
        <v>37024</v>
      </c>
      <c r="C11" s="2" t="s">
        <v>5</v>
      </c>
      <c r="D11" s="2" t="s">
        <v>11</v>
      </c>
      <c r="E11">
        <v>1820</v>
      </c>
      <c r="F11">
        <v>41.61</v>
      </c>
    </row>
    <row r="12" spans="1:6" x14ac:dyDescent="0.25">
      <c r="A12">
        <f>YEAR(Villa_Cortese_comunali[[#This Row],[Data]])</f>
        <v>1997</v>
      </c>
      <c r="B12" s="1">
        <v>35547</v>
      </c>
      <c r="C12" s="2" t="s">
        <v>5</v>
      </c>
      <c r="D12" s="2" t="s">
        <v>12</v>
      </c>
      <c r="E12">
        <v>1595</v>
      </c>
      <c r="F12">
        <v>38.93</v>
      </c>
    </row>
    <row r="13" spans="1:6" x14ac:dyDescent="0.25">
      <c r="A13">
        <f>YEAR(Villa_Cortese_comunali[[#This Row],[Data]])</f>
        <v>1997</v>
      </c>
      <c r="B13" s="1">
        <v>35547</v>
      </c>
      <c r="C13" s="2" t="s">
        <v>5</v>
      </c>
      <c r="D13" s="2" t="s">
        <v>13</v>
      </c>
      <c r="E13">
        <v>1471</v>
      </c>
      <c r="F13">
        <v>35.9</v>
      </c>
    </row>
    <row r="14" spans="1:6" x14ac:dyDescent="0.25">
      <c r="A14">
        <f>YEAR(Villa_Cortese_comunali[[#This Row],[Data]])</f>
        <v>1997</v>
      </c>
      <c r="B14" s="1">
        <v>35547</v>
      </c>
      <c r="C14" s="2" t="s">
        <v>5</v>
      </c>
      <c r="D14" s="2" t="s">
        <v>14</v>
      </c>
      <c r="E14">
        <v>1031</v>
      </c>
      <c r="F14">
        <v>25.16</v>
      </c>
    </row>
    <row r="15" spans="1:6" x14ac:dyDescent="0.25">
      <c r="A15">
        <f>YEAR(Villa_Cortese_comunali[[#This Row],[Data]])</f>
        <v>1993</v>
      </c>
      <c r="B15" s="1">
        <v>34126</v>
      </c>
      <c r="C15" s="2" t="s">
        <v>5</v>
      </c>
      <c r="D15" s="2" t="s">
        <v>15</v>
      </c>
      <c r="E15">
        <v>1658</v>
      </c>
      <c r="F15">
        <v>40.840000000000003</v>
      </c>
    </row>
    <row r="16" spans="1:6" x14ac:dyDescent="0.25">
      <c r="A16">
        <f>YEAR(Villa_Cortese_comunali[[#This Row],[Data]])</f>
        <v>1993</v>
      </c>
      <c r="B16" s="1">
        <v>34126</v>
      </c>
      <c r="C16" s="2" t="s">
        <v>5</v>
      </c>
      <c r="D16" s="2" t="s">
        <v>16</v>
      </c>
      <c r="E16">
        <v>1655</v>
      </c>
      <c r="F16">
        <v>40.76</v>
      </c>
    </row>
    <row r="17" spans="1:6" x14ac:dyDescent="0.25">
      <c r="A17">
        <f>YEAR(Villa_Cortese_comunali[[#This Row],[Data]])</f>
        <v>1993</v>
      </c>
      <c r="B17" s="1">
        <v>34126</v>
      </c>
      <c r="C17" s="2" t="s">
        <v>5</v>
      </c>
      <c r="D17" s="2" t="s">
        <v>17</v>
      </c>
      <c r="E17">
        <v>747</v>
      </c>
      <c r="F17">
        <v>18.399999999999999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0B62C3-8445-4D87-98FE-D2DA72EBF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Villa_Cortese_comunali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Marchiori</dc:creator>
  <cp:lastModifiedBy>Luca Marchiori</cp:lastModifiedBy>
  <dcterms:created xsi:type="dcterms:W3CDTF">2026-05-08T16:40:01Z</dcterms:created>
  <dcterms:modified xsi:type="dcterms:W3CDTF">2026-05-09T11:07:10Z</dcterms:modified>
</cp:coreProperties>
</file>