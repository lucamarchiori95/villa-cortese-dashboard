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m\Desktop\Risultati_Villa_Cortese\Elaborazione da eligendo\XLMS\"/>
    </mc:Choice>
  </mc:AlternateContent>
  <xr:revisionPtr revIDLastSave="0" documentId="13_ncr:1_{1801D381-8CA6-4B86-8F0E-0E779D0D0F68}" xr6:coauthVersionLast="47" xr6:coauthVersionMax="47" xr10:uidLastSave="{00000000-0000-0000-0000-000000000000}"/>
  <bookViews>
    <workbookView xWindow="-120" yWindow="-120" windowWidth="29040" windowHeight="15720" xr2:uid="{3B177226-3C05-49A8-B83A-7BC880E34C14}"/>
  </bookViews>
  <sheets>
    <sheet name="Villa_Cortese_camera" sheetId="2" r:id="rId1"/>
  </sheets>
  <definedNames>
    <definedName name="DatiEsterni_1" localSheetId="0" hidden="1">Villa_Cortese_camera!$B$1:$H$138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" i="2" l="1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06961C-76C7-4175-A6E2-876012A6D4CB}" keepAlive="1" name="Query - Villa_Cortese_camera" description="Connessione alla query 'Villa_Cortese_camera' nella cartella di lavoro." type="5" refreshedVersion="8" background="1" saveData="1">
    <dbPr connection="Provider=Microsoft.Mashup.OleDb.1;Data Source=$Workbook$;Location=Villa_Cortese_camera;Extended Properties=&quot;&quot;" command="SELECT * FROM [Villa_Cortese_camera]"/>
  </connection>
</connections>
</file>

<file path=xl/sharedStrings.xml><?xml version="1.0" encoding="utf-8"?>
<sst xmlns="http://schemas.openxmlformats.org/spreadsheetml/2006/main" count="556" uniqueCount="127">
  <si>
    <t>Data</t>
  </si>
  <si>
    <t>Ente</t>
  </si>
  <si>
    <t>Ambito</t>
  </si>
  <si>
    <t>Candidato_Riferimento</t>
  </si>
  <si>
    <t>Lista/Partito</t>
  </si>
  <si>
    <t>Voti</t>
  </si>
  <si>
    <t>Percentuale</t>
  </si>
  <si>
    <t>Villa Cortese</t>
  </si>
  <si>
    <t>Comunale</t>
  </si>
  <si>
    <t>RAVETTO LAURA</t>
  </si>
  <si>
    <t>Voti candidato uninominale</t>
  </si>
  <si>
    <t>FRATELLI D'ITALIA CON GIORGIA MELONI</t>
  </si>
  <si>
    <t>LEGA PER SALVINI PREMIER</t>
  </si>
  <si>
    <t>FORZA ITALIA</t>
  </si>
  <si>
    <t>NOI MODERATI/LUPI - TOTI - BRUGNARO - UDC</t>
  </si>
  <si>
    <t>BETTINELLI SARA</t>
  </si>
  <si>
    <t>PARTITO DEMOCRATICO - ITALIA DEMOCRATICA E PROGRESSISTA</t>
  </si>
  <si>
    <t>ALLEANZA VERDI E SINISTRA</t>
  </si>
  <si>
    <t>+EUROPA</t>
  </si>
  <si>
    <t>IMPEGNO CIVICO LUIGI DI MAIO - CENTRO DEMOCRATICO</t>
  </si>
  <si>
    <t>SFONDRINI ANDREA</t>
  </si>
  <si>
    <t>AZIONE - ITALIA VIVA - CALENDA</t>
  </si>
  <si>
    <t>OLGIATI RICCARDO</t>
  </si>
  <si>
    <t>MOVIMENTO 5 STELLE</t>
  </si>
  <si>
    <t>ROGGIA ALESSANDRA</t>
  </si>
  <si>
    <t>ITALEXIT PER L'ITALIA</t>
  </si>
  <si>
    <t>GRATTAROLA ANDREA</t>
  </si>
  <si>
    <t>ITALIA SOVRANA E POPOLARE</t>
  </si>
  <si>
    <t>AMANN STEFANO</t>
  </si>
  <si>
    <t>UNIONE POPOLARE CON DE MAGISTRIS</t>
  </si>
  <si>
    <t>FORLINI LUISA</t>
  </si>
  <si>
    <t>VITA</t>
  </si>
  <si>
    <t>MARTUCCI ERMINIO</t>
  </si>
  <si>
    <t>MASTELLA NOI DI CENTRO EUROPEISTI</t>
  </si>
  <si>
    <t>BRAMBILLA MICHELA VITTORIA</t>
  </si>
  <si>
    <t>LEGA</t>
  </si>
  <si>
    <t>NOI CON L'ITALIA - UDC</t>
  </si>
  <si>
    <t>PRINA FRANCESCO</t>
  </si>
  <si>
    <t>PARTITO DEMOCRATICO</t>
  </si>
  <si>
    <t>ITALIA EUROPA INSIEME</t>
  </si>
  <si>
    <t>CIVICA POPOLARE LORENZIN</t>
  </si>
  <si>
    <t>IPPOLITO FRANCESCO</t>
  </si>
  <si>
    <t>DAL TOSO MARCO SERENO</t>
  </si>
  <si>
    <t>LIBERI E UGUALI</t>
  </si>
  <si>
    <t>CASARI STEFANO</t>
  </si>
  <si>
    <t>CASAPOUND ITALIA</t>
  </si>
  <si>
    <t>CONTIERO NAOMI</t>
  </si>
  <si>
    <t>POTERE AL POPOLO!</t>
  </si>
  <si>
    <t>CHIAPPANO PIERO</t>
  </si>
  <si>
    <t>IL POPOLO DELLA FAMIGLIA</t>
  </si>
  <si>
    <t>RICCI GIOVANNI NICOLO'</t>
  </si>
  <si>
    <t>10 VOLTE MEGLIO</t>
  </si>
  <si>
    <t>VIVALDI FEDERICO</t>
  </si>
  <si>
    <t>PARTITO REPUBBLICANO ITALIANO - ALA</t>
  </si>
  <si>
    <t>PIER LUIGI BERSANI</t>
  </si>
  <si>
    <t>SINISTRA ECOLOGIA LIBERTA'</t>
  </si>
  <si>
    <t>CENTRO DEMOCRATICO</t>
  </si>
  <si>
    <t>SILVIO BERLUSCONI</t>
  </si>
  <si>
    <t>IL POPOLO DELLA LIBERTA'</t>
  </si>
  <si>
    <t>LEGA NORD</t>
  </si>
  <si>
    <t>FRATELLI D'ITALIA</t>
  </si>
  <si>
    <t>LA DESTRA</t>
  </si>
  <si>
    <t>MIR - MODERATI IN RIVOLUZIONE</t>
  </si>
  <si>
    <t>INTESA POPOLARE</t>
  </si>
  <si>
    <t>GIUSEPPE PIERO GRILLO</t>
  </si>
  <si>
    <t>MOVIMENTO 5 STELLE BEPPEGRILLO.IT</t>
  </si>
  <si>
    <t>MARIO MONTI</t>
  </si>
  <si>
    <t>SCELTA CIVICA CON MONTI PER L'ITALIA</t>
  </si>
  <si>
    <t>UNIONE DI CENTRO</t>
  </si>
  <si>
    <t>FUTURO E LIBERTA'</t>
  </si>
  <si>
    <t>ANTONIO INGROIA</t>
  </si>
  <si>
    <t>RIVOLUZIONE CIVILE</t>
  </si>
  <si>
    <t>OSCAR FULVIO GIANNINO</t>
  </si>
  <si>
    <t>FARE PER FERMARE IL DECLINO</t>
  </si>
  <si>
    <t>MARCO FERRANDO</t>
  </si>
  <si>
    <t>PARTITO COMUNISTA DEI LAVORATORI</t>
  </si>
  <si>
    <t>ROBERTO FIORE</t>
  </si>
  <si>
    <t>FORZA NUOVA</t>
  </si>
  <si>
    <t>MAGDI CRISTIANO ALLAM</t>
  </si>
  <si>
    <t>IO AMO L'ITALIA</t>
  </si>
  <si>
    <t>STEFANIA GABRIELLA ANASTASIA CRAXI</t>
  </si>
  <si>
    <t>RIFORMISTI ITALIANI</t>
  </si>
  <si>
    <t>MARCO MARSILI</t>
  </si>
  <si>
    <t>I PIRATI</t>
  </si>
  <si>
    <t>WALTER VELTRONI</t>
  </si>
  <si>
    <t>DI PIETRO ITALIA DEI VALORI</t>
  </si>
  <si>
    <t>FAUSTO BERTINOTTI</t>
  </si>
  <si>
    <t>LA SINISTRA L'ARCOBALENO</t>
  </si>
  <si>
    <t>PIER FERDINANDO CASINI</t>
  </si>
  <si>
    <t>DANIELA GARNERO SANTANCHE'</t>
  </si>
  <si>
    <t>LA DESTRA - FIAMMA TRICOLORE</t>
  </si>
  <si>
    <t>ENRICO BOSELLI</t>
  </si>
  <si>
    <t>PARTITO SOCIALISTA</t>
  </si>
  <si>
    <t>GIULIANO FERRARA</t>
  </si>
  <si>
    <t>ASS.DIFESA DELLA VITA ABORTO?NO,GRAZIE</t>
  </si>
  <si>
    <t>FLAVIA D'ANGELI</t>
  </si>
  <si>
    <t>SINISTRA CRITICA</t>
  </si>
  <si>
    <t>STEFANO MONTANARI</t>
  </si>
  <si>
    <t>PER IL BENE COMUNE</t>
  </si>
  <si>
    <t>RENZO RABELLINO</t>
  </si>
  <si>
    <t>LISTA DEI GRILLI PARLANTI</t>
  </si>
  <si>
    <t>BRUNO DE VITA</t>
  </si>
  <si>
    <t>UNIONE DEMOCRATICA PER I CONSUMATORI</t>
  </si>
  <si>
    <t>PRODI ROMANO</t>
  </si>
  <si>
    <t>L'ULIVO</t>
  </si>
  <si>
    <t>RIFONDAZIONE COMUNISTA</t>
  </si>
  <si>
    <t>FEDERAZIONE DEI VERDI</t>
  </si>
  <si>
    <t>COMUNISTI ITALIANI</t>
  </si>
  <si>
    <t>PARTITO PENSIONATI</t>
  </si>
  <si>
    <t>LA ROSA NEL PUGNO</t>
  </si>
  <si>
    <t>U.D.EUR POPOLARI</t>
  </si>
  <si>
    <t>BERLUSCONI SILVIO</t>
  </si>
  <si>
    <t>ALLEANZA NAZIONALE</t>
  </si>
  <si>
    <t>ALTERNATIVA SOCIALE MUSSOLINI</t>
  </si>
  <si>
    <t>FIAMMA TRICOLORE</t>
  </si>
  <si>
    <t>DEM.CRIST.-NUOVO PSI</t>
  </si>
  <si>
    <t>NO EURO</t>
  </si>
  <si>
    <t>N/D</t>
  </si>
  <si>
    <t>LA MARGHERITA</t>
  </si>
  <si>
    <t>DEMOCRATICI SINISTRA</t>
  </si>
  <si>
    <t>LISTA DI PIETRO</t>
  </si>
  <si>
    <t>CCD-CDU</t>
  </si>
  <si>
    <t>IL GIRASOLE</t>
  </si>
  <si>
    <t>PANNELLA-BONINO</t>
  </si>
  <si>
    <t>DEMOCRAZIA EUROPEA</t>
  </si>
  <si>
    <t>ABOLIZIONE SCORPORO</t>
  </si>
  <si>
    <t>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</si>
</sst>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e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69C6FB7-44F1-4EA8-87A7-AF86438A7764}" autoFormatId="16" applyNumberFormats="0" applyBorderFormats="0" applyFontFormats="0" applyPatternFormats="0" applyAlignmentFormats="0" applyWidthHeightFormats="0">
  <queryTableRefresh nextId="8">
    <queryTableFields count="7">
      <queryTableField id="1" name="Data" tableColumnId="1"/>
      <queryTableField id="2" name="Ente" tableColumnId="2"/>
      <queryTableField id="3" name="Ambito" tableColumnId="3"/>
      <queryTableField id="4" name="Candidato_Riferimento" tableColumnId="4"/>
      <queryTableField id="5" name="Lista/Partito" tableColumnId="5"/>
      <queryTableField id="6" name="Voti" tableColumnId="6"/>
      <queryTableField id="7" name="Percentual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A72608-CA59-416B-8D6C-806BF0AB7E60}" name="Villa_Cortese_camera" displayName="Villa_Cortese_camera" ref="B1:H138" tableType="queryTable" totalsRowShown="0">
  <autoFilter ref="B1:H138" xr:uid="{29A72608-CA59-416B-8D6C-806BF0AB7E60}"/>
  <tableColumns count="7">
    <tableColumn id="1" xr3:uid="{BEF9DC27-00E4-463C-A557-7454E9B877AD}" uniqueName="1" name="Data" queryTableFieldId="1" dataDxfId="4"/>
    <tableColumn id="2" xr3:uid="{C9EF9EE0-03D2-4495-82C0-6E109228FCA4}" uniqueName="2" name="Ente" queryTableFieldId="2" dataDxfId="3"/>
    <tableColumn id="3" xr3:uid="{3B11005F-0332-4EAE-8291-37E439B3F52A}" uniqueName="3" name="Ambito" queryTableFieldId="3" dataDxfId="2"/>
    <tableColumn id="4" xr3:uid="{45350D33-2611-42AF-B509-0A6F850B44FD}" uniqueName="4" name="Candidato_Riferimento" queryTableFieldId="4" dataDxfId="1"/>
    <tableColumn id="5" xr3:uid="{85B1794E-BC78-48E5-9F62-995A4DAAA8BD}" uniqueName="5" name="Lista/Partito" queryTableFieldId="5" dataDxfId="0"/>
    <tableColumn id="6" xr3:uid="{46260890-9E56-49BE-8ED3-21D9D4063CF3}" uniqueName="6" name="Voti" queryTableFieldId="6"/>
    <tableColumn id="7" xr3:uid="{87BA2133-0D2C-48FD-9742-367C8623825C}" uniqueName="7" name="Percentual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A8CC-D431-4719-9A90-F32417E3AFBD}">
  <dimension ref="A1:H138"/>
  <sheetViews>
    <sheetView tabSelected="1" topLeftCell="A52" workbookViewId="0">
      <selection activeCell="A2" sqref="A2:A138"/>
    </sheetView>
  </sheetViews>
  <sheetFormatPr defaultRowHeight="15" x14ac:dyDescent="0.25"/>
  <cols>
    <col min="2" max="2" width="10.42578125" bestFit="1" customWidth="1"/>
    <col min="3" max="3" width="12" bestFit="1" customWidth="1"/>
    <col min="4" max="4" width="10" bestFit="1" customWidth="1"/>
    <col min="5" max="5" width="35.28515625" bestFit="1" customWidth="1"/>
    <col min="6" max="6" width="57.85546875" bestFit="1" customWidth="1"/>
    <col min="7" max="7" width="6.85546875" bestFit="1" customWidth="1"/>
    <col min="8" max="8" width="14.140625" bestFit="1" customWidth="1"/>
  </cols>
  <sheetData>
    <row r="1" spans="1:8" x14ac:dyDescent="0.25">
      <c r="A1" t="s">
        <v>126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f>YEAR(Villa_Cortese_camera[[#This Row],[Data]])</f>
        <v>2022</v>
      </c>
      <c r="B2" s="1">
        <v>44829</v>
      </c>
      <c r="C2" s="2" t="s">
        <v>7</v>
      </c>
      <c r="D2" s="2" t="s">
        <v>8</v>
      </c>
      <c r="E2" s="2" t="s">
        <v>9</v>
      </c>
      <c r="F2" s="2" t="s">
        <v>10</v>
      </c>
      <c r="H2">
        <v>53.93</v>
      </c>
    </row>
    <row r="3" spans="1:8" x14ac:dyDescent="0.25">
      <c r="A3">
        <f>YEAR(Villa_Cortese_camera[[#This Row],[Data]])</f>
        <v>2022</v>
      </c>
      <c r="B3" s="1">
        <v>44829</v>
      </c>
      <c r="C3" s="2" t="s">
        <v>7</v>
      </c>
      <c r="D3" s="2" t="s">
        <v>8</v>
      </c>
      <c r="E3" s="2" t="s">
        <v>9</v>
      </c>
      <c r="F3" s="2" t="s">
        <v>11</v>
      </c>
      <c r="G3">
        <v>967</v>
      </c>
      <c r="H3">
        <v>29.89</v>
      </c>
    </row>
    <row r="4" spans="1:8" x14ac:dyDescent="0.25">
      <c r="A4">
        <f>YEAR(Villa_Cortese_camera[[#This Row],[Data]])</f>
        <v>2022</v>
      </c>
      <c r="B4" s="1">
        <v>44829</v>
      </c>
      <c r="C4" s="2" t="s">
        <v>7</v>
      </c>
      <c r="D4" s="2" t="s">
        <v>8</v>
      </c>
      <c r="E4" s="2" t="s">
        <v>9</v>
      </c>
      <c r="F4" s="2" t="s">
        <v>12</v>
      </c>
      <c r="G4">
        <v>552</v>
      </c>
      <c r="H4">
        <v>17.059999999999999</v>
      </c>
    </row>
    <row r="5" spans="1:8" x14ac:dyDescent="0.25">
      <c r="A5">
        <f>YEAR(Villa_Cortese_camera[[#This Row],[Data]])</f>
        <v>2022</v>
      </c>
      <c r="B5" s="1">
        <v>44829</v>
      </c>
      <c r="C5" s="2" t="s">
        <v>7</v>
      </c>
      <c r="D5" s="2" t="s">
        <v>8</v>
      </c>
      <c r="E5" s="2" t="s">
        <v>9</v>
      </c>
      <c r="F5" s="2" t="s">
        <v>13</v>
      </c>
      <c r="G5">
        <v>249</v>
      </c>
      <c r="H5">
        <v>7.7</v>
      </c>
    </row>
    <row r="6" spans="1:8" x14ac:dyDescent="0.25">
      <c r="A6">
        <f>YEAR(Villa_Cortese_camera[[#This Row],[Data]])</f>
        <v>2022</v>
      </c>
      <c r="B6" s="1">
        <v>44829</v>
      </c>
      <c r="C6" s="2" t="s">
        <v>7</v>
      </c>
      <c r="D6" s="2" t="s">
        <v>8</v>
      </c>
      <c r="E6" s="2" t="s">
        <v>9</v>
      </c>
      <c r="F6" s="2" t="s">
        <v>14</v>
      </c>
      <c r="G6">
        <v>12</v>
      </c>
      <c r="H6">
        <v>0.37</v>
      </c>
    </row>
    <row r="7" spans="1:8" x14ac:dyDescent="0.25">
      <c r="A7">
        <f>YEAR(Villa_Cortese_camera[[#This Row],[Data]])</f>
        <v>2022</v>
      </c>
      <c r="B7" s="1">
        <v>44829</v>
      </c>
      <c r="C7" s="2" t="s">
        <v>7</v>
      </c>
      <c r="D7" s="2" t="s">
        <v>8</v>
      </c>
      <c r="E7" s="2" t="s">
        <v>15</v>
      </c>
      <c r="F7" s="2" t="s">
        <v>10</v>
      </c>
      <c r="H7">
        <v>26.25</v>
      </c>
    </row>
    <row r="8" spans="1:8" x14ac:dyDescent="0.25">
      <c r="A8">
        <f>YEAR(Villa_Cortese_camera[[#This Row],[Data]])</f>
        <v>2022</v>
      </c>
      <c r="B8" s="1">
        <v>44829</v>
      </c>
      <c r="C8" s="2" t="s">
        <v>7</v>
      </c>
      <c r="D8" s="2" t="s">
        <v>8</v>
      </c>
      <c r="E8" s="2" t="s">
        <v>15</v>
      </c>
      <c r="F8" s="2" t="s">
        <v>16</v>
      </c>
      <c r="G8">
        <v>633</v>
      </c>
      <c r="H8">
        <v>19.57</v>
      </c>
    </row>
    <row r="9" spans="1:8" x14ac:dyDescent="0.25">
      <c r="A9">
        <f>YEAR(Villa_Cortese_camera[[#This Row],[Data]])</f>
        <v>2022</v>
      </c>
      <c r="B9" s="1">
        <v>44829</v>
      </c>
      <c r="C9" s="2" t="s">
        <v>7</v>
      </c>
      <c r="D9" s="2" t="s">
        <v>8</v>
      </c>
      <c r="E9" s="2" t="s">
        <v>15</v>
      </c>
      <c r="F9" s="2" t="s">
        <v>17</v>
      </c>
      <c r="G9">
        <v>93</v>
      </c>
      <c r="H9">
        <v>2.87</v>
      </c>
    </row>
    <row r="10" spans="1:8" x14ac:dyDescent="0.25">
      <c r="A10">
        <f>YEAR(Villa_Cortese_camera[[#This Row],[Data]])</f>
        <v>2022</v>
      </c>
      <c r="B10" s="1">
        <v>44829</v>
      </c>
      <c r="C10" s="2" t="s">
        <v>7</v>
      </c>
      <c r="D10" s="2" t="s">
        <v>8</v>
      </c>
      <c r="E10" s="2" t="s">
        <v>15</v>
      </c>
      <c r="F10" s="2" t="s">
        <v>18</v>
      </c>
      <c r="G10">
        <v>87</v>
      </c>
      <c r="H10">
        <v>2.69</v>
      </c>
    </row>
    <row r="11" spans="1:8" x14ac:dyDescent="0.25">
      <c r="A11">
        <f>YEAR(Villa_Cortese_camera[[#This Row],[Data]])</f>
        <v>2022</v>
      </c>
      <c r="B11" s="1">
        <v>44829</v>
      </c>
      <c r="C11" s="2" t="s">
        <v>7</v>
      </c>
      <c r="D11" s="2" t="s">
        <v>8</v>
      </c>
      <c r="E11" s="2" t="s">
        <v>15</v>
      </c>
      <c r="F11" s="2" t="s">
        <v>19</v>
      </c>
      <c r="G11">
        <v>6</v>
      </c>
      <c r="H11">
        <v>0.19</v>
      </c>
    </row>
    <row r="12" spans="1:8" x14ac:dyDescent="0.25">
      <c r="A12">
        <f>YEAR(Villa_Cortese_camera[[#This Row],[Data]])</f>
        <v>2022</v>
      </c>
      <c r="B12" s="1">
        <v>44829</v>
      </c>
      <c r="C12" s="2" t="s">
        <v>7</v>
      </c>
      <c r="D12" s="2" t="s">
        <v>8</v>
      </c>
      <c r="E12" s="2" t="s">
        <v>20</v>
      </c>
      <c r="F12" s="2" t="s">
        <v>10</v>
      </c>
      <c r="H12">
        <v>7.84</v>
      </c>
    </row>
    <row r="13" spans="1:8" x14ac:dyDescent="0.25">
      <c r="A13">
        <f>YEAR(Villa_Cortese_camera[[#This Row],[Data]])</f>
        <v>2022</v>
      </c>
      <c r="B13" s="1">
        <v>44829</v>
      </c>
      <c r="C13" s="2" t="s">
        <v>7</v>
      </c>
      <c r="D13" s="2" t="s">
        <v>8</v>
      </c>
      <c r="E13" s="2" t="s">
        <v>20</v>
      </c>
      <c r="F13" s="2" t="s">
        <v>21</v>
      </c>
      <c r="G13">
        <v>250</v>
      </c>
      <c r="H13">
        <v>7.73</v>
      </c>
    </row>
    <row r="14" spans="1:8" x14ac:dyDescent="0.25">
      <c r="A14">
        <f>YEAR(Villa_Cortese_camera[[#This Row],[Data]])</f>
        <v>2022</v>
      </c>
      <c r="B14" s="1">
        <v>44829</v>
      </c>
      <c r="C14" s="2" t="s">
        <v>7</v>
      </c>
      <c r="D14" s="2" t="s">
        <v>8</v>
      </c>
      <c r="E14" s="2" t="s">
        <v>22</v>
      </c>
      <c r="F14" s="2" t="s">
        <v>10</v>
      </c>
      <c r="H14">
        <v>7.23</v>
      </c>
    </row>
    <row r="15" spans="1:8" x14ac:dyDescent="0.25">
      <c r="A15">
        <f>YEAR(Villa_Cortese_camera[[#This Row],[Data]])</f>
        <v>2022</v>
      </c>
      <c r="B15" s="1">
        <v>44829</v>
      </c>
      <c r="C15" s="2" t="s">
        <v>7</v>
      </c>
      <c r="D15" s="2" t="s">
        <v>8</v>
      </c>
      <c r="E15" s="2" t="s">
        <v>22</v>
      </c>
      <c r="F15" s="2" t="s">
        <v>23</v>
      </c>
      <c r="G15">
        <v>232</v>
      </c>
      <c r="H15">
        <v>7.17</v>
      </c>
    </row>
    <row r="16" spans="1:8" x14ac:dyDescent="0.25">
      <c r="A16">
        <f>YEAR(Villa_Cortese_camera[[#This Row],[Data]])</f>
        <v>2022</v>
      </c>
      <c r="B16" s="1">
        <v>44829</v>
      </c>
      <c r="C16" s="2" t="s">
        <v>7</v>
      </c>
      <c r="D16" s="2" t="s">
        <v>8</v>
      </c>
      <c r="E16" s="2" t="s">
        <v>24</v>
      </c>
      <c r="F16" s="2" t="s">
        <v>10</v>
      </c>
      <c r="H16">
        <v>1.72</v>
      </c>
    </row>
    <row r="17" spans="1:8" x14ac:dyDescent="0.25">
      <c r="A17">
        <f>YEAR(Villa_Cortese_camera[[#This Row],[Data]])</f>
        <v>2022</v>
      </c>
      <c r="B17" s="1">
        <v>44829</v>
      </c>
      <c r="C17" s="2" t="s">
        <v>7</v>
      </c>
      <c r="D17" s="2" t="s">
        <v>8</v>
      </c>
      <c r="E17" s="2" t="s">
        <v>24</v>
      </c>
      <c r="F17" s="2" t="s">
        <v>25</v>
      </c>
      <c r="G17">
        <v>56</v>
      </c>
      <c r="H17">
        <v>1.73</v>
      </c>
    </row>
    <row r="18" spans="1:8" x14ac:dyDescent="0.25">
      <c r="A18">
        <f>YEAR(Villa_Cortese_camera[[#This Row],[Data]])</f>
        <v>2022</v>
      </c>
      <c r="B18" s="1">
        <v>44829</v>
      </c>
      <c r="C18" s="2" t="s">
        <v>7</v>
      </c>
      <c r="D18" s="2" t="s">
        <v>8</v>
      </c>
      <c r="E18" s="2" t="s">
        <v>26</v>
      </c>
      <c r="F18" s="2" t="s">
        <v>10</v>
      </c>
      <c r="H18">
        <v>1.22</v>
      </c>
    </row>
    <row r="19" spans="1:8" x14ac:dyDescent="0.25">
      <c r="A19">
        <f>YEAR(Villa_Cortese_camera[[#This Row],[Data]])</f>
        <v>2022</v>
      </c>
      <c r="B19" s="1">
        <v>44829</v>
      </c>
      <c r="C19" s="2" t="s">
        <v>7</v>
      </c>
      <c r="D19" s="2" t="s">
        <v>8</v>
      </c>
      <c r="E19" s="2" t="s">
        <v>26</v>
      </c>
      <c r="F19" s="2" t="s">
        <v>27</v>
      </c>
      <c r="G19">
        <v>42</v>
      </c>
      <c r="H19">
        <v>1.3</v>
      </c>
    </row>
    <row r="20" spans="1:8" x14ac:dyDescent="0.25">
      <c r="A20">
        <f>YEAR(Villa_Cortese_camera[[#This Row],[Data]])</f>
        <v>2022</v>
      </c>
      <c r="B20" s="1">
        <v>44829</v>
      </c>
      <c r="C20" s="2" t="s">
        <v>7</v>
      </c>
      <c r="D20" s="2" t="s">
        <v>8</v>
      </c>
      <c r="E20" s="2" t="s">
        <v>28</v>
      </c>
      <c r="F20" s="2" t="s">
        <v>10</v>
      </c>
      <c r="H20">
        <v>0.99</v>
      </c>
    </row>
    <row r="21" spans="1:8" x14ac:dyDescent="0.25">
      <c r="A21">
        <f>YEAR(Villa_Cortese_camera[[#This Row],[Data]])</f>
        <v>2022</v>
      </c>
      <c r="B21" s="1">
        <v>44829</v>
      </c>
      <c r="C21" s="2" t="s">
        <v>7</v>
      </c>
      <c r="D21" s="2" t="s">
        <v>8</v>
      </c>
      <c r="E21" s="2" t="s">
        <v>28</v>
      </c>
      <c r="F21" s="2" t="s">
        <v>29</v>
      </c>
      <c r="G21">
        <v>32</v>
      </c>
      <c r="H21">
        <v>0.99</v>
      </c>
    </row>
    <row r="22" spans="1:8" x14ac:dyDescent="0.25">
      <c r="A22">
        <f>YEAR(Villa_Cortese_camera[[#This Row],[Data]])</f>
        <v>2022</v>
      </c>
      <c r="B22" s="1">
        <v>44829</v>
      </c>
      <c r="C22" s="2" t="s">
        <v>7</v>
      </c>
      <c r="D22" s="2" t="s">
        <v>8</v>
      </c>
      <c r="E22" s="2" t="s">
        <v>30</v>
      </c>
      <c r="F22" s="2" t="s">
        <v>10</v>
      </c>
      <c r="H22">
        <v>0.55000000000000004</v>
      </c>
    </row>
    <row r="23" spans="1:8" x14ac:dyDescent="0.25">
      <c r="A23">
        <f>YEAR(Villa_Cortese_camera[[#This Row],[Data]])</f>
        <v>2022</v>
      </c>
      <c r="B23" s="1">
        <v>44829</v>
      </c>
      <c r="C23" s="2" t="s">
        <v>7</v>
      </c>
      <c r="D23" s="2" t="s">
        <v>8</v>
      </c>
      <c r="E23" s="2" t="s">
        <v>30</v>
      </c>
      <c r="F23" s="2" t="s">
        <v>31</v>
      </c>
      <c r="G23">
        <v>15</v>
      </c>
      <c r="H23">
        <v>0.46</v>
      </c>
    </row>
    <row r="24" spans="1:8" x14ac:dyDescent="0.25">
      <c r="A24">
        <f>YEAR(Villa_Cortese_camera[[#This Row],[Data]])</f>
        <v>2022</v>
      </c>
      <c r="B24" s="1">
        <v>44829</v>
      </c>
      <c r="C24" s="2" t="s">
        <v>7</v>
      </c>
      <c r="D24" s="2" t="s">
        <v>8</v>
      </c>
      <c r="E24" s="2" t="s">
        <v>32</v>
      </c>
      <c r="F24" s="2" t="s">
        <v>10</v>
      </c>
      <c r="H24">
        <v>0.26</v>
      </c>
    </row>
    <row r="25" spans="1:8" x14ac:dyDescent="0.25">
      <c r="A25">
        <f>YEAR(Villa_Cortese_camera[[#This Row],[Data]])</f>
        <v>2022</v>
      </c>
      <c r="B25" s="1">
        <v>44829</v>
      </c>
      <c r="C25" s="2" t="s">
        <v>7</v>
      </c>
      <c r="D25" s="2" t="s">
        <v>8</v>
      </c>
      <c r="E25" s="2" t="s">
        <v>32</v>
      </c>
      <c r="F25" s="2" t="s">
        <v>33</v>
      </c>
      <c r="G25">
        <v>9</v>
      </c>
      <c r="H25">
        <v>0.28000000000000003</v>
      </c>
    </row>
    <row r="26" spans="1:8" x14ac:dyDescent="0.25">
      <c r="A26">
        <f>YEAR(Villa_Cortese_camera[[#This Row],[Data]])</f>
        <v>2018</v>
      </c>
      <c r="B26" s="1">
        <v>43163</v>
      </c>
      <c r="C26" s="2" t="s">
        <v>7</v>
      </c>
      <c r="D26" s="2" t="s">
        <v>8</v>
      </c>
      <c r="E26" s="2" t="s">
        <v>34</v>
      </c>
      <c r="F26" s="2" t="s">
        <v>10</v>
      </c>
      <c r="H26">
        <v>49.12</v>
      </c>
    </row>
    <row r="27" spans="1:8" x14ac:dyDescent="0.25">
      <c r="A27">
        <f>YEAR(Villa_Cortese_camera[[#This Row],[Data]])</f>
        <v>2018</v>
      </c>
      <c r="B27" s="1">
        <v>43163</v>
      </c>
      <c r="C27" s="2" t="s">
        <v>7</v>
      </c>
      <c r="D27" s="2" t="s">
        <v>8</v>
      </c>
      <c r="E27" s="2" t="s">
        <v>34</v>
      </c>
      <c r="F27" s="2" t="s">
        <v>35</v>
      </c>
      <c r="G27">
        <v>1207</v>
      </c>
      <c r="H27">
        <v>31.37</v>
      </c>
    </row>
    <row r="28" spans="1:8" x14ac:dyDescent="0.25">
      <c r="A28">
        <f>YEAR(Villa_Cortese_camera[[#This Row],[Data]])</f>
        <v>2018</v>
      </c>
      <c r="B28" s="1">
        <v>43163</v>
      </c>
      <c r="C28" s="2" t="s">
        <v>7</v>
      </c>
      <c r="D28" s="2" t="s">
        <v>8</v>
      </c>
      <c r="E28" s="2" t="s">
        <v>34</v>
      </c>
      <c r="F28" s="2" t="s">
        <v>13</v>
      </c>
      <c r="G28">
        <v>539</v>
      </c>
      <c r="H28">
        <v>14.01</v>
      </c>
    </row>
    <row r="29" spans="1:8" x14ac:dyDescent="0.25">
      <c r="A29">
        <f>YEAR(Villa_Cortese_camera[[#This Row],[Data]])</f>
        <v>2018</v>
      </c>
      <c r="B29" s="1">
        <v>43163</v>
      </c>
      <c r="C29" s="2" t="s">
        <v>7</v>
      </c>
      <c r="D29" s="2" t="s">
        <v>8</v>
      </c>
      <c r="E29" s="2" t="s">
        <v>34</v>
      </c>
      <c r="F29" s="2" t="s">
        <v>11</v>
      </c>
      <c r="G29">
        <v>128</v>
      </c>
      <c r="H29">
        <v>3.33</v>
      </c>
    </row>
    <row r="30" spans="1:8" x14ac:dyDescent="0.25">
      <c r="A30">
        <f>YEAR(Villa_Cortese_camera[[#This Row],[Data]])</f>
        <v>2018</v>
      </c>
      <c r="B30" s="1">
        <v>43163</v>
      </c>
      <c r="C30" s="2" t="s">
        <v>7</v>
      </c>
      <c r="D30" s="2" t="s">
        <v>8</v>
      </c>
      <c r="E30" s="2" t="s">
        <v>34</v>
      </c>
      <c r="F30" s="2" t="s">
        <v>36</v>
      </c>
      <c r="G30">
        <v>34</v>
      </c>
      <c r="H30">
        <v>0.88</v>
      </c>
    </row>
    <row r="31" spans="1:8" x14ac:dyDescent="0.25">
      <c r="A31">
        <f>YEAR(Villa_Cortese_camera[[#This Row],[Data]])</f>
        <v>2018</v>
      </c>
      <c r="B31" s="1">
        <v>43163</v>
      </c>
      <c r="C31" s="2" t="s">
        <v>7</v>
      </c>
      <c r="D31" s="2" t="s">
        <v>8</v>
      </c>
      <c r="E31" s="2" t="s">
        <v>37</v>
      </c>
      <c r="F31" s="2" t="s">
        <v>10</v>
      </c>
      <c r="H31">
        <v>24.42</v>
      </c>
    </row>
    <row r="32" spans="1:8" x14ac:dyDescent="0.25">
      <c r="A32">
        <f>YEAR(Villa_Cortese_camera[[#This Row],[Data]])</f>
        <v>2018</v>
      </c>
      <c r="B32" s="1">
        <v>43163</v>
      </c>
      <c r="C32" s="2" t="s">
        <v>7</v>
      </c>
      <c r="D32" s="2" t="s">
        <v>8</v>
      </c>
      <c r="E32" s="2" t="s">
        <v>37</v>
      </c>
      <c r="F32" s="2" t="s">
        <v>38</v>
      </c>
      <c r="G32">
        <v>822</v>
      </c>
      <c r="H32">
        <v>21.36</v>
      </c>
    </row>
    <row r="33" spans="1:8" x14ac:dyDescent="0.25">
      <c r="A33">
        <f>YEAR(Villa_Cortese_camera[[#This Row],[Data]])</f>
        <v>2018</v>
      </c>
      <c r="B33" s="1">
        <v>43163</v>
      </c>
      <c r="C33" s="2" t="s">
        <v>7</v>
      </c>
      <c r="D33" s="2" t="s">
        <v>8</v>
      </c>
      <c r="E33" s="2" t="s">
        <v>37</v>
      </c>
      <c r="F33" s="2" t="s">
        <v>18</v>
      </c>
      <c r="G33">
        <v>87</v>
      </c>
      <c r="H33">
        <v>2.2599999999999998</v>
      </c>
    </row>
    <row r="34" spans="1:8" x14ac:dyDescent="0.25">
      <c r="A34">
        <f>YEAR(Villa_Cortese_camera[[#This Row],[Data]])</f>
        <v>2018</v>
      </c>
      <c r="B34" s="1">
        <v>43163</v>
      </c>
      <c r="C34" s="2" t="s">
        <v>7</v>
      </c>
      <c r="D34" s="2" t="s">
        <v>8</v>
      </c>
      <c r="E34" s="2" t="s">
        <v>37</v>
      </c>
      <c r="F34" s="2" t="s">
        <v>39</v>
      </c>
      <c r="G34">
        <v>22</v>
      </c>
      <c r="H34">
        <v>0.56999999999999995</v>
      </c>
    </row>
    <row r="35" spans="1:8" x14ac:dyDescent="0.25">
      <c r="A35">
        <f>YEAR(Villa_Cortese_camera[[#This Row],[Data]])</f>
        <v>2018</v>
      </c>
      <c r="B35" s="1">
        <v>43163</v>
      </c>
      <c r="C35" s="2" t="s">
        <v>7</v>
      </c>
      <c r="D35" s="2" t="s">
        <v>8</v>
      </c>
      <c r="E35" s="2" t="s">
        <v>37</v>
      </c>
      <c r="F35" s="2" t="s">
        <v>40</v>
      </c>
      <c r="G35">
        <v>11</v>
      </c>
      <c r="H35">
        <v>0.28999999999999998</v>
      </c>
    </row>
    <row r="36" spans="1:8" x14ac:dyDescent="0.25">
      <c r="A36">
        <f>YEAR(Villa_Cortese_camera[[#This Row],[Data]])</f>
        <v>2018</v>
      </c>
      <c r="B36" s="1">
        <v>43163</v>
      </c>
      <c r="C36" s="2" t="s">
        <v>7</v>
      </c>
      <c r="D36" s="2" t="s">
        <v>8</v>
      </c>
      <c r="E36" s="2" t="s">
        <v>41</v>
      </c>
      <c r="F36" s="2" t="s">
        <v>10</v>
      </c>
      <c r="H36">
        <v>22.26</v>
      </c>
    </row>
    <row r="37" spans="1:8" x14ac:dyDescent="0.25">
      <c r="A37">
        <f>YEAR(Villa_Cortese_camera[[#This Row],[Data]])</f>
        <v>2018</v>
      </c>
      <c r="B37" s="1">
        <v>43163</v>
      </c>
      <c r="C37" s="2" t="s">
        <v>7</v>
      </c>
      <c r="D37" s="2" t="s">
        <v>8</v>
      </c>
      <c r="E37" s="2" t="s">
        <v>41</v>
      </c>
      <c r="F37" s="2" t="s">
        <v>23</v>
      </c>
      <c r="G37">
        <v>842</v>
      </c>
      <c r="H37">
        <v>21.88</v>
      </c>
    </row>
    <row r="38" spans="1:8" x14ac:dyDescent="0.25">
      <c r="A38">
        <f>YEAR(Villa_Cortese_camera[[#This Row],[Data]])</f>
        <v>2018</v>
      </c>
      <c r="B38" s="1">
        <v>43163</v>
      </c>
      <c r="C38" s="2" t="s">
        <v>7</v>
      </c>
      <c r="D38" s="2" t="s">
        <v>8</v>
      </c>
      <c r="E38" s="2" t="s">
        <v>42</v>
      </c>
      <c r="F38" s="2" t="s">
        <v>10</v>
      </c>
      <c r="H38">
        <v>1.78</v>
      </c>
    </row>
    <row r="39" spans="1:8" x14ac:dyDescent="0.25">
      <c r="A39">
        <f>YEAR(Villa_Cortese_camera[[#This Row],[Data]])</f>
        <v>2018</v>
      </c>
      <c r="B39" s="1">
        <v>43163</v>
      </c>
      <c r="C39" s="2" t="s">
        <v>7</v>
      </c>
      <c r="D39" s="2" t="s">
        <v>8</v>
      </c>
      <c r="E39" s="2" t="s">
        <v>42</v>
      </c>
      <c r="F39" s="2" t="s">
        <v>43</v>
      </c>
      <c r="G39">
        <v>66</v>
      </c>
      <c r="H39">
        <v>1.72</v>
      </c>
    </row>
    <row r="40" spans="1:8" x14ac:dyDescent="0.25">
      <c r="A40">
        <f>YEAR(Villa_Cortese_camera[[#This Row],[Data]])</f>
        <v>2018</v>
      </c>
      <c r="B40" s="1">
        <v>43163</v>
      </c>
      <c r="C40" s="2" t="s">
        <v>7</v>
      </c>
      <c r="D40" s="2" t="s">
        <v>8</v>
      </c>
      <c r="E40" s="2" t="s">
        <v>44</v>
      </c>
      <c r="F40" s="2" t="s">
        <v>10</v>
      </c>
      <c r="H40">
        <v>1.22</v>
      </c>
    </row>
    <row r="41" spans="1:8" x14ac:dyDescent="0.25">
      <c r="A41">
        <f>YEAR(Villa_Cortese_camera[[#This Row],[Data]])</f>
        <v>2018</v>
      </c>
      <c r="B41" s="1">
        <v>43163</v>
      </c>
      <c r="C41" s="2" t="s">
        <v>7</v>
      </c>
      <c r="D41" s="2" t="s">
        <v>8</v>
      </c>
      <c r="E41" s="2" t="s">
        <v>44</v>
      </c>
      <c r="F41" s="2" t="s">
        <v>45</v>
      </c>
      <c r="G41">
        <v>46</v>
      </c>
      <c r="H41">
        <v>1.2</v>
      </c>
    </row>
    <row r="42" spans="1:8" x14ac:dyDescent="0.25">
      <c r="A42">
        <f>YEAR(Villa_Cortese_camera[[#This Row],[Data]])</f>
        <v>2018</v>
      </c>
      <c r="B42" s="1">
        <v>43163</v>
      </c>
      <c r="C42" s="2" t="s">
        <v>7</v>
      </c>
      <c r="D42" s="2" t="s">
        <v>8</v>
      </c>
      <c r="E42" s="2" t="s">
        <v>46</v>
      </c>
      <c r="F42" s="2" t="s">
        <v>10</v>
      </c>
      <c r="H42">
        <v>0.69</v>
      </c>
    </row>
    <row r="43" spans="1:8" x14ac:dyDescent="0.25">
      <c r="A43">
        <f>YEAR(Villa_Cortese_camera[[#This Row],[Data]])</f>
        <v>2018</v>
      </c>
      <c r="B43" s="1">
        <v>43163</v>
      </c>
      <c r="C43" s="2" t="s">
        <v>7</v>
      </c>
      <c r="D43" s="2" t="s">
        <v>8</v>
      </c>
      <c r="E43" s="2" t="s">
        <v>46</v>
      </c>
      <c r="F43" s="2" t="s">
        <v>47</v>
      </c>
      <c r="G43">
        <v>26</v>
      </c>
      <c r="H43">
        <v>0.68</v>
      </c>
    </row>
    <row r="44" spans="1:8" x14ac:dyDescent="0.25">
      <c r="A44">
        <f>YEAR(Villa_Cortese_camera[[#This Row],[Data]])</f>
        <v>2018</v>
      </c>
      <c r="B44" s="1">
        <v>43163</v>
      </c>
      <c r="C44" s="2" t="s">
        <v>7</v>
      </c>
      <c r="D44" s="2" t="s">
        <v>8</v>
      </c>
      <c r="E44" s="2" t="s">
        <v>48</v>
      </c>
      <c r="F44" s="2" t="s">
        <v>10</v>
      </c>
      <c r="H44">
        <v>0.3</v>
      </c>
    </row>
    <row r="45" spans="1:8" x14ac:dyDescent="0.25">
      <c r="A45">
        <f>YEAR(Villa_Cortese_camera[[#This Row],[Data]])</f>
        <v>2018</v>
      </c>
      <c r="B45" s="1">
        <v>43163</v>
      </c>
      <c r="C45" s="2" t="s">
        <v>7</v>
      </c>
      <c r="D45" s="2" t="s">
        <v>8</v>
      </c>
      <c r="E45" s="2" t="s">
        <v>48</v>
      </c>
      <c r="F45" s="2" t="s">
        <v>49</v>
      </c>
      <c r="G45">
        <v>10</v>
      </c>
      <c r="H45">
        <v>0.26</v>
      </c>
    </row>
    <row r="46" spans="1:8" x14ac:dyDescent="0.25">
      <c r="A46">
        <f>YEAR(Villa_Cortese_camera[[#This Row],[Data]])</f>
        <v>2018</v>
      </c>
      <c r="B46" s="1">
        <v>43163</v>
      </c>
      <c r="C46" s="2" t="s">
        <v>7</v>
      </c>
      <c r="D46" s="2" t="s">
        <v>8</v>
      </c>
      <c r="E46" s="2" t="s">
        <v>50</v>
      </c>
      <c r="F46" s="2" t="s">
        <v>10</v>
      </c>
      <c r="H46">
        <v>0.1</v>
      </c>
    </row>
    <row r="47" spans="1:8" x14ac:dyDescent="0.25">
      <c r="A47">
        <f>YEAR(Villa_Cortese_camera[[#This Row],[Data]])</f>
        <v>2018</v>
      </c>
      <c r="B47" s="1">
        <v>43163</v>
      </c>
      <c r="C47" s="2" t="s">
        <v>7</v>
      </c>
      <c r="D47" s="2" t="s">
        <v>8</v>
      </c>
      <c r="E47" s="2" t="s">
        <v>50</v>
      </c>
      <c r="F47" s="2" t="s">
        <v>51</v>
      </c>
      <c r="G47">
        <v>4</v>
      </c>
      <c r="H47">
        <v>0.1</v>
      </c>
    </row>
    <row r="48" spans="1:8" x14ac:dyDescent="0.25">
      <c r="A48">
        <f>YEAR(Villa_Cortese_camera[[#This Row],[Data]])</f>
        <v>2018</v>
      </c>
      <c r="B48" s="1">
        <v>43163</v>
      </c>
      <c r="C48" s="2" t="s">
        <v>7</v>
      </c>
      <c r="D48" s="2" t="s">
        <v>8</v>
      </c>
      <c r="E48" s="2" t="s">
        <v>52</v>
      </c>
      <c r="F48" s="2" t="s">
        <v>10</v>
      </c>
      <c r="H48">
        <v>0.1</v>
      </c>
    </row>
    <row r="49" spans="1:8" x14ac:dyDescent="0.25">
      <c r="A49">
        <f>YEAR(Villa_Cortese_camera[[#This Row],[Data]])</f>
        <v>2018</v>
      </c>
      <c r="B49" s="1">
        <v>43163</v>
      </c>
      <c r="C49" s="2" t="s">
        <v>7</v>
      </c>
      <c r="D49" s="2" t="s">
        <v>8</v>
      </c>
      <c r="E49" s="2" t="s">
        <v>52</v>
      </c>
      <c r="F49" s="2" t="s">
        <v>53</v>
      </c>
      <c r="G49">
        <v>4</v>
      </c>
      <c r="H49">
        <v>0.1</v>
      </c>
    </row>
    <row r="50" spans="1:8" x14ac:dyDescent="0.25">
      <c r="A50">
        <f>YEAR(Villa_Cortese_camera[[#This Row],[Data]])</f>
        <v>2013</v>
      </c>
      <c r="B50" s="1">
        <v>41329</v>
      </c>
      <c r="C50" s="2" t="s">
        <v>7</v>
      </c>
      <c r="D50" s="2" t="s">
        <v>8</v>
      </c>
      <c r="E50" s="2" t="s">
        <v>54</v>
      </c>
      <c r="F50" s="2" t="s">
        <v>10</v>
      </c>
    </row>
    <row r="51" spans="1:8" x14ac:dyDescent="0.25">
      <c r="A51">
        <f>YEAR(Villa_Cortese_camera[[#This Row],[Data]])</f>
        <v>2013</v>
      </c>
      <c r="B51" s="1">
        <v>41329</v>
      </c>
      <c r="C51" s="2" t="s">
        <v>7</v>
      </c>
      <c r="D51" s="2" t="s">
        <v>8</v>
      </c>
      <c r="E51" s="2" t="s">
        <v>54</v>
      </c>
      <c r="F51" s="2" t="s">
        <v>38</v>
      </c>
      <c r="G51">
        <v>1018</v>
      </c>
      <c r="H51">
        <v>25.69</v>
      </c>
    </row>
    <row r="52" spans="1:8" x14ac:dyDescent="0.25">
      <c r="A52">
        <f>YEAR(Villa_Cortese_camera[[#This Row],[Data]])</f>
        <v>2013</v>
      </c>
      <c r="B52" s="1">
        <v>41329</v>
      </c>
      <c r="C52" s="2" t="s">
        <v>7</v>
      </c>
      <c r="D52" s="2" t="s">
        <v>8</v>
      </c>
      <c r="E52" s="2" t="s">
        <v>54</v>
      </c>
      <c r="F52" s="2" t="s">
        <v>55</v>
      </c>
      <c r="G52">
        <v>78</v>
      </c>
      <c r="H52">
        <v>1.97</v>
      </c>
    </row>
    <row r="53" spans="1:8" x14ac:dyDescent="0.25">
      <c r="A53">
        <f>YEAR(Villa_Cortese_camera[[#This Row],[Data]])</f>
        <v>2013</v>
      </c>
      <c r="B53" s="1">
        <v>41329</v>
      </c>
      <c r="C53" s="2" t="s">
        <v>7</v>
      </c>
      <c r="D53" s="2" t="s">
        <v>8</v>
      </c>
      <c r="E53" s="2" t="s">
        <v>54</v>
      </c>
      <c r="F53" s="2" t="s">
        <v>56</v>
      </c>
      <c r="G53">
        <v>4</v>
      </c>
      <c r="H53">
        <v>0.1</v>
      </c>
    </row>
    <row r="54" spans="1:8" x14ac:dyDescent="0.25">
      <c r="A54">
        <f>YEAR(Villa_Cortese_camera[[#This Row],[Data]])</f>
        <v>2013</v>
      </c>
      <c r="B54" s="1">
        <v>41329</v>
      </c>
      <c r="C54" s="2" t="s">
        <v>7</v>
      </c>
      <c r="D54" s="2" t="s">
        <v>8</v>
      </c>
      <c r="E54" s="2" t="s">
        <v>57</v>
      </c>
      <c r="F54" s="2" t="s">
        <v>10</v>
      </c>
    </row>
    <row r="55" spans="1:8" x14ac:dyDescent="0.25">
      <c r="A55">
        <f>YEAR(Villa_Cortese_camera[[#This Row],[Data]])</f>
        <v>2013</v>
      </c>
      <c r="B55" s="1">
        <v>41329</v>
      </c>
      <c r="C55" s="2" t="s">
        <v>7</v>
      </c>
      <c r="D55" s="2" t="s">
        <v>8</v>
      </c>
      <c r="E55" s="2" t="s">
        <v>57</v>
      </c>
      <c r="F55" s="2" t="s">
        <v>58</v>
      </c>
      <c r="G55">
        <v>792</v>
      </c>
      <c r="H55">
        <v>19.989999999999998</v>
      </c>
    </row>
    <row r="56" spans="1:8" x14ac:dyDescent="0.25">
      <c r="A56">
        <f>YEAR(Villa_Cortese_camera[[#This Row],[Data]])</f>
        <v>2013</v>
      </c>
      <c r="B56" s="1">
        <v>41329</v>
      </c>
      <c r="C56" s="2" t="s">
        <v>7</v>
      </c>
      <c r="D56" s="2" t="s">
        <v>8</v>
      </c>
      <c r="E56" s="2" t="s">
        <v>57</v>
      </c>
      <c r="F56" s="2" t="s">
        <v>59</v>
      </c>
      <c r="G56">
        <v>610</v>
      </c>
      <c r="H56">
        <v>15.4</v>
      </c>
    </row>
    <row r="57" spans="1:8" x14ac:dyDescent="0.25">
      <c r="A57">
        <f>YEAR(Villa_Cortese_camera[[#This Row],[Data]])</f>
        <v>2013</v>
      </c>
      <c r="B57" s="1">
        <v>41329</v>
      </c>
      <c r="C57" s="2" t="s">
        <v>7</v>
      </c>
      <c r="D57" s="2" t="s">
        <v>8</v>
      </c>
      <c r="E57" s="2" t="s">
        <v>57</v>
      </c>
      <c r="F57" s="2" t="s">
        <v>60</v>
      </c>
      <c r="G57">
        <v>46</v>
      </c>
      <c r="H57">
        <v>1.1599999999999999</v>
      </c>
    </row>
    <row r="58" spans="1:8" x14ac:dyDescent="0.25">
      <c r="A58">
        <f>YEAR(Villa_Cortese_camera[[#This Row],[Data]])</f>
        <v>2013</v>
      </c>
      <c r="B58" s="1">
        <v>41329</v>
      </c>
      <c r="C58" s="2" t="s">
        <v>7</v>
      </c>
      <c r="D58" s="2" t="s">
        <v>8</v>
      </c>
      <c r="E58" s="2" t="s">
        <v>57</v>
      </c>
      <c r="F58" s="2" t="s">
        <v>61</v>
      </c>
      <c r="G58">
        <v>12</v>
      </c>
      <c r="H58">
        <v>0.3</v>
      </c>
    </row>
    <row r="59" spans="1:8" x14ac:dyDescent="0.25">
      <c r="A59">
        <f>YEAR(Villa_Cortese_camera[[#This Row],[Data]])</f>
        <v>2013</v>
      </c>
      <c r="B59" s="1">
        <v>41329</v>
      </c>
      <c r="C59" s="2" t="s">
        <v>7</v>
      </c>
      <c r="D59" s="2" t="s">
        <v>8</v>
      </c>
      <c r="E59" s="2" t="s">
        <v>57</v>
      </c>
      <c r="F59" s="2" t="s">
        <v>62</v>
      </c>
      <c r="G59">
        <v>3</v>
      </c>
      <c r="H59">
        <v>0.08</v>
      </c>
    </row>
    <row r="60" spans="1:8" x14ac:dyDescent="0.25">
      <c r="A60">
        <f>YEAR(Villa_Cortese_camera[[#This Row],[Data]])</f>
        <v>2013</v>
      </c>
      <c r="B60" s="1">
        <v>41329</v>
      </c>
      <c r="C60" s="2" t="s">
        <v>7</v>
      </c>
      <c r="D60" s="2" t="s">
        <v>8</v>
      </c>
      <c r="E60" s="2" t="s">
        <v>57</v>
      </c>
      <c r="F60" s="2" t="s">
        <v>63</v>
      </c>
      <c r="G60">
        <v>2</v>
      </c>
      <c r="H60">
        <v>0.05</v>
      </c>
    </row>
    <row r="61" spans="1:8" x14ac:dyDescent="0.25">
      <c r="A61">
        <f>YEAR(Villa_Cortese_camera[[#This Row],[Data]])</f>
        <v>2013</v>
      </c>
      <c r="B61" s="1">
        <v>41329</v>
      </c>
      <c r="C61" s="2" t="s">
        <v>7</v>
      </c>
      <c r="D61" s="2" t="s">
        <v>8</v>
      </c>
      <c r="E61" s="2" t="s">
        <v>64</v>
      </c>
      <c r="F61" s="2" t="s">
        <v>10</v>
      </c>
    </row>
    <row r="62" spans="1:8" x14ac:dyDescent="0.25">
      <c r="A62">
        <f>YEAR(Villa_Cortese_camera[[#This Row],[Data]])</f>
        <v>2013</v>
      </c>
      <c r="B62" s="1">
        <v>41329</v>
      </c>
      <c r="C62" s="2" t="s">
        <v>7</v>
      </c>
      <c r="D62" s="2" t="s">
        <v>8</v>
      </c>
      <c r="E62" s="2" t="s">
        <v>64</v>
      </c>
      <c r="F62" s="2" t="s">
        <v>65</v>
      </c>
      <c r="G62">
        <v>739</v>
      </c>
      <c r="H62">
        <v>18.649999999999999</v>
      </c>
    </row>
    <row r="63" spans="1:8" x14ac:dyDescent="0.25">
      <c r="A63">
        <f>YEAR(Villa_Cortese_camera[[#This Row],[Data]])</f>
        <v>2013</v>
      </c>
      <c r="B63" s="1">
        <v>41329</v>
      </c>
      <c r="C63" s="2" t="s">
        <v>7</v>
      </c>
      <c r="D63" s="2" t="s">
        <v>8</v>
      </c>
      <c r="E63" s="2" t="s">
        <v>66</v>
      </c>
      <c r="F63" s="2" t="s">
        <v>10</v>
      </c>
    </row>
    <row r="64" spans="1:8" x14ac:dyDescent="0.25">
      <c r="A64">
        <f>YEAR(Villa_Cortese_camera[[#This Row],[Data]])</f>
        <v>2013</v>
      </c>
      <c r="B64" s="1">
        <v>41329</v>
      </c>
      <c r="C64" s="2" t="s">
        <v>7</v>
      </c>
      <c r="D64" s="2" t="s">
        <v>8</v>
      </c>
      <c r="E64" s="2" t="s">
        <v>66</v>
      </c>
      <c r="F64" s="2" t="s">
        <v>67</v>
      </c>
      <c r="G64">
        <v>447</v>
      </c>
      <c r="H64">
        <v>11.28</v>
      </c>
    </row>
    <row r="65" spans="1:8" x14ac:dyDescent="0.25">
      <c r="A65">
        <f>YEAR(Villa_Cortese_camera[[#This Row],[Data]])</f>
        <v>2013</v>
      </c>
      <c r="B65" s="1">
        <v>41329</v>
      </c>
      <c r="C65" s="2" t="s">
        <v>7</v>
      </c>
      <c r="D65" s="2" t="s">
        <v>8</v>
      </c>
      <c r="E65" s="2" t="s">
        <v>66</v>
      </c>
      <c r="F65" s="2" t="s">
        <v>68</v>
      </c>
      <c r="G65">
        <v>44</v>
      </c>
      <c r="H65">
        <v>1.1100000000000001</v>
      </c>
    </row>
    <row r="66" spans="1:8" x14ac:dyDescent="0.25">
      <c r="A66">
        <f>YEAR(Villa_Cortese_camera[[#This Row],[Data]])</f>
        <v>2013</v>
      </c>
      <c r="B66" s="1">
        <v>41329</v>
      </c>
      <c r="C66" s="2" t="s">
        <v>7</v>
      </c>
      <c r="D66" s="2" t="s">
        <v>8</v>
      </c>
      <c r="E66" s="2" t="s">
        <v>66</v>
      </c>
      <c r="F66" s="2" t="s">
        <v>69</v>
      </c>
      <c r="G66">
        <v>12</v>
      </c>
      <c r="H66">
        <v>0.3</v>
      </c>
    </row>
    <row r="67" spans="1:8" x14ac:dyDescent="0.25">
      <c r="A67">
        <f>YEAR(Villa_Cortese_camera[[#This Row],[Data]])</f>
        <v>2013</v>
      </c>
      <c r="B67" s="1">
        <v>41329</v>
      </c>
      <c r="C67" s="2" t="s">
        <v>7</v>
      </c>
      <c r="D67" s="2" t="s">
        <v>8</v>
      </c>
      <c r="E67" s="2" t="s">
        <v>70</v>
      </c>
      <c r="F67" s="2" t="s">
        <v>10</v>
      </c>
    </row>
    <row r="68" spans="1:8" x14ac:dyDescent="0.25">
      <c r="A68">
        <f>YEAR(Villa_Cortese_camera[[#This Row],[Data]])</f>
        <v>2013</v>
      </c>
      <c r="B68" s="1">
        <v>41329</v>
      </c>
      <c r="C68" s="2" t="s">
        <v>7</v>
      </c>
      <c r="D68" s="2" t="s">
        <v>8</v>
      </c>
      <c r="E68" s="2" t="s">
        <v>70</v>
      </c>
      <c r="F68" s="2" t="s">
        <v>71</v>
      </c>
      <c r="G68">
        <v>59</v>
      </c>
      <c r="H68">
        <v>1.49</v>
      </c>
    </row>
    <row r="69" spans="1:8" x14ac:dyDescent="0.25">
      <c r="A69">
        <f>YEAR(Villa_Cortese_camera[[#This Row],[Data]])</f>
        <v>2013</v>
      </c>
      <c r="B69" s="1">
        <v>41329</v>
      </c>
      <c r="C69" s="2" t="s">
        <v>7</v>
      </c>
      <c r="D69" s="2" t="s">
        <v>8</v>
      </c>
      <c r="E69" s="2" t="s">
        <v>72</v>
      </c>
      <c r="F69" s="2" t="s">
        <v>10</v>
      </c>
    </row>
    <row r="70" spans="1:8" x14ac:dyDescent="0.25">
      <c r="A70">
        <f>YEAR(Villa_Cortese_camera[[#This Row],[Data]])</f>
        <v>2013</v>
      </c>
      <c r="B70" s="1">
        <v>41329</v>
      </c>
      <c r="C70" s="2" t="s">
        <v>7</v>
      </c>
      <c r="D70" s="2" t="s">
        <v>8</v>
      </c>
      <c r="E70" s="2" t="s">
        <v>72</v>
      </c>
      <c r="F70" s="2" t="s">
        <v>73</v>
      </c>
      <c r="G70">
        <v>38</v>
      </c>
      <c r="H70">
        <v>0.96</v>
      </c>
    </row>
    <row r="71" spans="1:8" x14ac:dyDescent="0.25">
      <c r="A71">
        <f>YEAR(Villa_Cortese_camera[[#This Row],[Data]])</f>
        <v>2013</v>
      </c>
      <c r="B71" s="1">
        <v>41329</v>
      </c>
      <c r="C71" s="2" t="s">
        <v>7</v>
      </c>
      <c r="D71" s="2" t="s">
        <v>8</v>
      </c>
      <c r="E71" s="2" t="s">
        <v>74</v>
      </c>
      <c r="F71" s="2" t="s">
        <v>10</v>
      </c>
    </row>
    <row r="72" spans="1:8" x14ac:dyDescent="0.25">
      <c r="A72">
        <f>YEAR(Villa_Cortese_camera[[#This Row],[Data]])</f>
        <v>2013</v>
      </c>
      <c r="B72" s="1">
        <v>41329</v>
      </c>
      <c r="C72" s="2" t="s">
        <v>7</v>
      </c>
      <c r="D72" s="2" t="s">
        <v>8</v>
      </c>
      <c r="E72" s="2" t="s">
        <v>74</v>
      </c>
      <c r="F72" s="2" t="s">
        <v>75</v>
      </c>
      <c r="G72">
        <v>19</v>
      </c>
      <c r="H72">
        <v>0.48</v>
      </c>
    </row>
    <row r="73" spans="1:8" x14ac:dyDescent="0.25">
      <c r="A73">
        <f>YEAR(Villa_Cortese_camera[[#This Row],[Data]])</f>
        <v>2013</v>
      </c>
      <c r="B73" s="1">
        <v>41329</v>
      </c>
      <c r="C73" s="2" t="s">
        <v>7</v>
      </c>
      <c r="D73" s="2" t="s">
        <v>8</v>
      </c>
      <c r="E73" s="2" t="s">
        <v>76</v>
      </c>
      <c r="F73" s="2" t="s">
        <v>10</v>
      </c>
    </row>
    <row r="74" spans="1:8" x14ac:dyDescent="0.25">
      <c r="A74">
        <f>YEAR(Villa_Cortese_camera[[#This Row],[Data]])</f>
        <v>2013</v>
      </c>
      <c r="B74" s="1">
        <v>41329</v>
      </c>
      <c r="C74" s="2" t="s">
        <v>7</v>
      </c>
      <c r="D74" s="2" t="s">
        <v>8</v>
      </c>
      <c r="E74" s="2" t="s">
        <v>76</v>
      </c>
      <c r="F74" s="2" t="s">
        <v>77</v>
      </c>
      <c r="G74">
        <v>18</v>
      </c>
      <c r="H74">
        <v>0.45</v>
      </c>
    </row>
    <row r="75" spans="1:8" x14ac:dyDescent="0.25">
      <c r="A75">
        <f>YEAR(Villa_Cortese_camera[[#This Row],[Data]])</f>
        <v>2013</v>
      </c>
      <c r="B75" s="1">
        <v>41329</v>
      </c>
      <c r="C75" s="2" t="s">
        <v>7</v>
      </c>
      <c r="D75" s="2" t="s">
        <v>8</v>
      </c>
      <c r="E75" s="2" t="s">
        <v>78</v>
      </c>
      <c r="F75" s="2" t="s">
        <v>10</v>
      </c>
    </row>
    <row r="76" spans="1:8" x14ac:dyDescent="0.25">
      <c r="A76">
        <f>YEAR(Villa_Cortese_camera[[#This Row],[Data]])</f>
        <v>2013</v>
      </c>
      <c r="B76" s="1">
        <v>41329</v>
      </c>
      <c r="C76" s="2" t="s">
        <v>7</v>
      </c>
      <c r="D76" s="2" t="s">
        <v>8</v>
      </c>
      <c r="E76" s="2" t="s">
        <v>78</v>
      </c>
      <c r="F76" s="2" t="s">
        <v>79</v>
      </c>
      <c r="G76">
        <v>8</v>
      </c>
      <c r="H76">
        <v>0.2</v>
      </c>
    </row>
    <row r="77" spans="1:8" x14ac:dyDescent="0.25">
      <c r="A77">
        <f>YEAR(Villa_Cortese_camera[[#This Row],[Data]])</f>
        <v>2013</v>
      </c>
      <c r="B77" s="1">
        <v>41329</v>
      </c>
      <c r="C77" s="2" t="s">
        <v>7</v>
      </c>
      <c r="D77" s="2" t="s">
        <v>8</v>
      </c>
      <c r="E77" s="2" t="s">
        <v>80</v>
      </c>
      <c r="F77" s="2" t="s">
        <v>10</v>
      </c>
    </row>
    <row r="78" spans="1:8" x14ac:dyDescent="0.25">
      <c r="A78">
        <f>YEAR(Villa_Cortese_camera[[#This Row],[Data]])</f>
        <v>2013</v>
      </c>
      <c r="B78" s="1">
        <v>41329</v>
      </c>
      <c r="C78" s="2" t="s">
        <v>7</v>
      </c>
      <c r="D78" s="2" t="s">
        <v>8</v>
      </c>
      <c r="E78" s="2" t="s">
        <v>80</v>
      </c>
      <c r="F78" s="2" t="s">
        <v>81</v>
      </c>
      <c r="G78">
        <v>1</v>
      </c>
      <c r="H78">
        <v>0.03</v>
      </c>
    </row>
    <row r="79" spans="1:8" x14ac:dyDescent="0.25">
      <c r="A79">
        <f>YEAR(Villa_Cortese_camera[[#This Row],[Data]])</f>
        <v>2013</v>
      </c>
      <c r="B79" s="1">
        <v>41329</v>
      </c>
      <c r="C79" s="2" t="s">
        <v>7</v>
      </c>
      <c r="D79" s="2" t="s">
        <v>8</v>
      </c>
      <c r="E79" s="2" t="s">
        <v>82</v>
      </c>
      <c r="F79" s="2" t="s">
        <v>10</v>
      </c>
    </row>
    <row r="80" spans="1:8" x14ac:dyDescent="0.25">
      <c r="A80">
        <f>YEAR(Villa_Cortese_camera[[#This Row],[Data]])</f>
        <v>2013</v>
      </c>
      <c r="B80" s="1">
        <v>41329</v>
      </c>
      <c r="C80" s="2" t="s">
        <v>7</v>
      </c>
      <c r="D80" s="2" t="s">
        <v>8</v>
      </c>
      <c r="E80" s="2" t="s">
        <v>82</v>
      </c>
      <c r="F80" s="2" t="s">
        <v>83</v>
      </c>
      <c r="G80">
        <v>12</v>
      </c>
      <c r="H80">
        <v>0.3</v>
      </c>
    </row>
    <row r="81" spans="1:8" x14ac:dyDescent="0.25">
      <c r="A81">
        <f>YEAR(Villa_Cortese_camera[[#This Row],[Data]])</f>
        <v>2008</v>
      </c>
      <c r="B81" s="1">
        <v>39551</v>
      </c>
      <c r="C81" s="2" t="s">
        <v>7</v>
      </c>
      <c r="D81" s="2" t="s">
        <v>8</v>
      </c>
      <c r="E81" s="2" t="s">
        <v>84</v>
      </c>
      <c r="F81" s="2" t="s">
        <v>10</v>
      </c>
    </row>
    <row r="82" spans="1:8" x14ac:dyDescent="0.25">
      <c r="A82">
        <f>YEAR(Villa_Cortese_camera[[#This Row],[Data]])</f>
        <v>2008</v>
      </c>
      <c r="B82" s="1">
        <v>39551</v>
      </c>
      <c r="C82" s="2" t="s">
        <v>7</v>
      </c>
      <c r="D82" s="2" t="s">
        <v>8</v>
      </c>
      <c r="E82" s="2" t="s">
        <v>84</v>
      </c>
      <c r="F82" s="2" t="s">
        <v>38</v>
      </c>
      <c r="G82">
        <v>1162</v>
      </c>
      <c r="H82">
        <v>27.3</v>
      </c>
    </row>
    <row r="83" spans="1:8" x14ac:dyDescent="0.25">
      <c r="A83">
        <f>YEAR(Villa_Cortese_camera[[#This Row],[Data]])</f>
        <v>2008</v>
      </c>
      <c r="B83" s="1">
        <v>39551</v>
      </c>
      <c r="C83" s="2" t="s">
        <v>7</v>
      </c>
      <c r="D83" s="2" t="s">
        <v>8</v>
      </c>
      <c r="E83" s="2" t="s">
        <v>84</v>
      </c>
      <c r="F83" s="2" t="s">
        <v>85</v>
      </c>
      <c r="G83">
        <v>193</v>
      </c>
      <c r="H83">
        <v>4.53</v>
      </c>
    </row>
    <row r="84" spans="1:8" x14ac:dyDescent="0.25">
      <c r="A84">
        <f>YEAR(Villa_Cortese_camera[[#This Row],[Data]])</f>
        <v>2008</v>
      </c>
      <c r="B84" s="1">
        <v>39551</v>
      </c>
      <c r="C84" s="2" t="s">
        <v>7</v>
      </c>
      <c r="D84" s="2" t="s">
        <v>8</v>
      </c>
      <c r="E84" s="2" t="s">
        <v>57</v>
      </c>
      <c r="F84" s="2" t="s">
        <v>10</v>
      </c>
    </row>
    <row r="85" spans="1:8" x14ac:dyDescent="0.25">
      <c r="A85">
        <f>YEAR(Villa_Cortese_camera[[#This Row],[Data]])</f>
        <v>2008</v>
      </c>
      <c r="B85" s="1">
        <v>39551</v>
      </c>
      <c r="C85" s="2" t="s">
        <v>7</v>
      </c>
      <c r="D85" s="2" t="s">
        <v>8</v>
      </c>
      <c r="E85" s="2" t="s">
        <v>57</v>
      </c>
      <c r="F85" s="2" t="s">
        <v>58</v>
      </c>
      <c r="G85">
        <v>1410</v>
      </c>
      <c r="H85">
        <v>33.130000000000003</v>
      </c>
    </row>
    <row r="86" spans="1:8" x14ac:dyDescent="0.25">
      <c r="A86">
        <f>YEAR(Villa_Cortese_camera[[#This Row],[Data]])</f>
        <v>2008</v>
      </c>
      <c r="B86" s="1">
        <v>39551</v>
      </c>
      <c r="C86" s="2" t="s">
        <v>7</v>
      </c>
      <c r="D86" s="2" t="s">
        <v>8</v>
      </c>
      <c r="E86" s="2" t="s">
        <v>57</v>
      </c>
      <c r="F86" s="2" t="s">
        <v>59</v>
      </c>
      <c r="G86">
        <v>948</v>
      </c>
      <c r="H86">
        <v>22.27</v>
      </c>
    </row>
    <row r="87" spans="1:8" x14ac:dyDescent="0.25">
      <c r="A87">
        <f>YEAR(Villa_Cortese_camera[[#This Row],[Data]])</f>
        <v>2008</v>
      </c>
      <c r="B87" s="1">
        <v>39551</v>
      </c>
      <c r="C87" s="2" t="s">
        <v>7</v>
      </c>
      <c r="D87" s="2" t="s">
        <v>8</v>
      </c>
      <c r="E87" s="2" t="s">
        <v>86</v>
      </c>
      <c r="F87" s="2" t="s">
        <v>10</v>
      </c>
    </row>
    <row r="88" spans="1:8" x14ac:dyDescent="0.25">
      <c r="A88">
        <f>YEAR(Villa_Cortese_camera[[#This Row],[Data]])</f>
        <v>2008</v>
      </c>
      <c r="B88" s="1">
        <v>39551</v>
      </c>
      <c r="C88" s="2" t="s">
        <v>7</v>
      </c>
      <c r="D88" s="2" t="s">
        <v>8</v>
      </c>
      <c r="E88" s="2" t="s">
        <v>86</v>
      </c>
      <c r="F88" s="2" t="s">
        <v>87</v>
      </c>
      <c r="G88">
        <v>103</v>
      </c>
      <c r="H88">
        <v>2.42</v>
      </c>
    </row>
    <row r="89" spans="1:8" x14ac:dyDescent="0.25">
      <c r="A89">
        <f>YEAR(Villa_Cortese_camera[[#This Row],[Data]])</f>
        <v>2008</v>
      </c>
      <c r="B89" s="1">
        <v>39551</v>
      </c>
      <c r="C89" s="2" t="s">
        <v>7</v>
      </c>
      <c r="D89" s="2" t="s">
        <v>8</v>
      </c>
      <c r="E89" s="2" t="s">
        <v>88</v>
      </c>
      <c r="F89" s="2" t="s">
        <v>10</v>
      </c>
    </row>
    <row r="90" spans="1:8" x14ac:dyDescent="0.25">
      <c r="A90">
        <f>YEAR(Villa_Cortese_camera[[#This Row],[Data]])</f>
        <v>2008</v>
      </c>
      <c r="B90" s="1">
        <v>39551</v>
      </c>
      <c r="C90" s="2" t="s">
        <v>7</v>
      </c>
      <c r="D90" s="2" t="s">
        <v>8</v>
      </c>
      <c r="E90" s="2" t="s">
        <v>88</v>
      </c>
      <c r="F90" s="2" t="s">
        <v>68</v>
      </c>
      <c r="G90">
        <v>206</v>
      </c>
      <c r="H90">
        <v>4.84</v>
      </c>
    </row>
    <row r="91" spans="1:8" x14ac:dyDescent="0.25">
      <c r="A91">
        <f>YEAR(Villa_Cortese_camera[[#This Row],[Data]])</f>
        <v>2008</v>
      </c>
      <c r="B91" s="1">
        <v>39551</v>
      </c>
      <c r="C91" s="2" t="s">
        <v>7</v>
      </c>
      <c r="D91" s="2" t="s">
        <v>8</v>
      </c>
      <c r="E91" s="2" t="s">
        <v>89</v>
      </c>
      <c r="F91" s="2" t="s">
        <v>10</v>
      </c>
    </row>
    <row r="92" spans="1:8" x14ac:dyDescent="0.25">
      <c r="A92">
        <f>YEAR(Villa_Cortese_camera[[#This Row],[Data]])</f>
        <v>2008</v>
      </c>
      <c r="B92" s="1">
        <v>39551</v>
      </c>
      <c r="C92" s="2" t="s">
        <v>7</v>
      </c>
      <c r="D92" s="2" t="s">
        <v>8</v>
      </c>
      <c r="E92" s="2" t="s">
        <v>89</v>
      </c>
      <c r="F92" s="2" t="s">
        <v>90</v>
      </c>
      <c r="G92">
        <v>121</v>
      </c>
      <c r="H92">
        <v>2.84</v>
      </c>
    </row>
    <row r="93" spans="1:8" x14ac:dyDescent="0.25">
      <c r="A93">
        <f>YEAR(Villa_Cortese_camera[[#This Row],[Data]])</f>
        <v>2008</v>
      </c>
      <c r="B93" s="1">
        <v>39551</v>
      </c>
      <c r="C93" s="2" t="s">
        <v>7</v>
      </c>
      <c r="D93" s="2" t="s">
        <v>8</v>
      </c>
      <c r="E93" s="2" t="s">
        <v>91</v>
      </c>
      <c r="F93" s="2" t="s">
        <v>10</v>
      </c>
    </row>
    <row r="94" spans="1:8" x14ac:dyDescent="0.25">
      <c r="A94">
        <f>YEAR(Villa_Cortese_camera[[#This Row],[Data]])</f>
        <v>2008</v>
      </c>
      <c r="B94" s="1">
        <v>39551</v>
      </c>
      <c r="C94" s="2" t="s">
        <v>7</v>
      </c>
      <c r="D94" s="2" t="s">
        <v>8</v>
      </c>
      <c r="E94" s="2" t="s">
        <v>91</v>
      </c>
      <c r="F94" s="2" t="s">
        <v>92</v>
      </c>
      <c r="G94">
        <v>14</v>
      </c>
      <c r="H94">
        <v>0.33</v>
      </c>
    </row>
    <row r="95" spans="1:8" x14ac:dyDescent="0.25">
      <c r="A95">
        <f>YEAR(Villa_Cortese_camera[[#This Row],[Data]])</f>
        <v>2008</v>
      </c>
      <c r="B95" s="1">
        <v>39551</v>
      </c>
      <c r="C95" s="2" t="s">
        <v>7</v>
      </c>
      <c r="D95" s="2" t="s">
        <v>8</v>
      </c>
      <c r="E95" s="2" t="s">
        <v>93</v>
      </c>
      <c r="F95" s="2" t="s">
        <v>10</v>
      </c>
    </row>
    <row r="96" spans="1:8" x14ac:dyDescent="0.25">
      <c r="A96">
        <f>YEAR(Villa_Cortese_camera[[#This Row],[Data]])</f>
        <v>2008</v>
      </c>
      <c r="B96" s="1">
        <v>39551</v>
      </c>
      <c r="C96" s="2" t="s">
        <v>7</v>
      </c>
      <c r="D96" s="2" t="s">
        <v>8</v>
      </c>
      <c r="E96" s="2" t="s">
        <v>93</v>
      </c>
      <c r="F96" s="2" t="s">
        <v>94</v>
      </c>
      <c r="G96">
        <v>9</v>
      </c>
      <c r="H96">
        <v>0.21</v>
      </c>
    </row>
    <row r="97" spans="1:8" x14ac:dyDescent="0.25">
      <c r="A97">
        <f>YEAR(Villa_Cortese_camera[[#This Row],[Data]])</f>
        <v>2008</v>
      </c>
      <c r="B97" s="1">
        <v>39551</v>
      </c>
      <c r="C97" s="2" t="s">
        <v>7</v>
      </c>
      <c r="D97" s="2" t="s">
        <v>8</v>
      </c>
      <c r="E97" s="2" t="s">
        <v>95</v>
      </c>
      <c r="F97" s="2" t="s">
        <v>10</v>
      </c>
    </row>
    <row r="98" spans="1:8" x14ac:dyDescent="0.25">
      <c r="A98">
        <f>YEAR(Villa_Cortese_camera[[#This Row],[Data]])</f>
        <v>2008</v>
      </c>
      <c r="B98" s="1">
        <v>39551</v>
      </c>
      <c r="C98" s="2" t="s">
        <v>7</v>
      </c>
      <c r="D98" s="2" t="s">
        <v>8</v>
      </c>
      <c r="E98" s="2" t="s">
        <v>95</v>
      </c>
      <c r="F98" s="2" t="s">
        <v>96</v>
      </c>
      <c r="G98">
        <v>16</v>
      </c>
      <c r="H98">
        <v>0.38</v>
      </c>
    </row>
    <row r="99" spans="1:8" x14ac:dyDescent="0.25">
      <c r="A99">
        <f>YEAR(Villa_Cortese_camera[[#This Row],[Data]])</f>
        <v>2008</v>
      </c>
      <c r="B99" s="1">
        <v>39551</v>
      </c>
      <c r="C99" s="2" t="s">
        <v>7</v>
      </c>
      <c r="D99" s="2" t="s">
        <v>8</v>
      </c>
      <c r="E99" s="2" t="s">
        <v>97</v>
      </c>
      <c r="F99" s="2" t="s">
        <v>10</v>
      </c>
    </row>
    <row r="100" spans="1:8" x14ac:dyDescent="0.25">
      <c r="A100">
        <f>YEAR(Villa_Cortese_camera[[#This Row],[Data]])</f>
        <v>2008</v>
      </c>
      <c r="B100" s="1">
        <v>39551</v>
      </c>
      <c r="C100" s="2" t="s">
        <v>7</v>
      </c>
      <c r="D100" s="2" t="s">
        <v>8</v>
      </c>
      <c r="E100" s="2" t="s">
        <v>97</v>
      </c>
      <c r="F100" s="2" t="s">
        <v>98</v>
      </c>
      <c r="G100">
        <v>11</v>
      </c>
      <c r="H100">
        <v>0.26</v>
      </c>
    </row>
    <row r="101" spans="1:8" x14ac:dyDescent="0.25">
      <c r="A101">
        <f>YEAR(Villa_Cortese_camera[[#This Row],[Data]])</f>
        <v>2008</v>
      </c>
      <c r="B101" s="1">
        <v>39551</v>
      </c>
      <c r="C101" s="2" t="s">
        <v>7</v>
      </c>
      <c r="D101" s="2" t="s">
        <v>8</v>
      </c>
      <c r="E101" s="2" t="s">
        <v>74</v>
      </c>
      <c r="F101" s="2" t="s">
        <v>10</v>
      </c>
    </row>
    <row r="102" spans="1:8" x14ac:dyDescent="0.25">
      <c r="A102">
        <f>YEAR(Villa_Cortese_camera[[#This Row],[Data]])</f>
        <v>2008</v>
      </c>
      <c r="B102" s="1">
        <v>39551</v>
      </c>
      <c r="C102" s="2" t="s">
        <v>7</v>
      </c>
      <c r="D102" s="2" t="s">
        <v>8</v>
      </c>
      <c r="E102" s="2" t="s">
        <v>74</v>
      </c>
      <c r="F102" s="2" t="s">
        <v>75</v>
      </c>
      <c r="G102">
        <v>22</v>
      </c>
      <c r="H102">
        <v>0.52</v>
      </c>
    </row>
    <row r="103" spans="1:8" x14ac:dyDescent="0.25">
      <c r="A103">
        <f>YEAR(Villa_Cortese_camera[[#This Row],[Data]])</f>
        <v>2008</v>
      </c>
      <c r="B103" s="1">
        <v>39551</v>
      </c>
      <c r="C103" s="2" t="s">
        <v>7</v>
      </c>
      <c r="D103" s="2" t="s">
        <v>8</v>
      </c>
      <c r="E103" s="2" t="s">
        <v>99</v>
      </c>
      <c r="F103" s="2" t="s">
        <v>10</v>
      </c>
    </row>
    <row r="104" spans="1:8" x14ac:dyDescent="0.25">
      <c r="A104">
        <f>YEAR(Villa_Cortese_camera[[#This Row],[Data]])</f>
        <v>2008</v>
      </c>
      <c r="B104" s="1">
        <v>39551</v>
      </c>
      <c r="C104" s="2" t="s">
        <v>7</v>
      </c>
      <c r="D104" s="2" t="s">
        <v>8</v>
      </c>
      <c r="E104" s="2" t="s">
        <v>99</v>
      </c>
      <c r="F104" s="2" t="s">
        <v>100</v>
      </c>
      <c r="G104">
        <v>29</v>
      </c>
      <c r="H104">
        <v>0.68</v>
      </c>
    </row>
    <row r="105" spans="1:8" x14ac:dyDescent="0.25">
      <c r="A105">
        <f>YEAR(Villa_Cortese_camera[[#This Row],[Data]])</f>
        <v>2008</v>
      </c>
      <c r="B105" s="1">
        <v>39551</v>
      </c>
      <c r="C105" s="2" t="s">
        <v>7</v>
      </c>
      <c r="D105" s="2" t="s">
        <v>8</v>
      </c>
      <c r="E105" s="2" t="s">
        <v>101</v>
      </c>
      <c r="F105" s="2" t="s">
        <v>10</v>
      </c>
    </row>
    <row r="106" spans="1:8" x14ac:dyDescent="0.25">
      <c r="A106">
        <f>YEAR(Villa_Cortese_camera[[#This Row],[Data]])</f>
        <v>2008</v>
      </c>
      <c r="B106" s="1">
        <v>39551</v>
      </c>
      <c r="C106" s="2" t="s">
        <v>7</v>
      </c>
      <c r="D106" s="2" t="s">
        <v>8</v>
      </c>
      <c r="E106" s="2" t="s">
        <v>101</v>
      </c>
      <c r="F106" s="2" t="s">
        <v>102</v>
      </c>
      <c r="G106">
        <v>12</v>
      </c>
      <c r="H106">
        <v>0.28000000000000003</v>
      </c>
    </row>
    <row r="107" spans="1:8" x14ac:dyDescent="0.25">
      <c r="A107">
        <f>YEAR(Villa_Cortese_camera[[#This Row],[Data]])</f>
        <v>2006</v>
      </c>
      <c r="B107" s="1">
        <v>38816</v>
      </c>
      <c r="C107" s="2" t="s">
        <v>7</v>
      </c>
      <c r="D107" s="2" t="s">
        <v>8</v>
      </c>
      <c r="E107" s="2" t="s">
        <v>103</v>
      </c>
      <c r="F107" s="2" t="s">
        <v>10</v>
      </c>
    </row>
    <row r="108" spans="1:8" x14ac:dyDescent="0.25">
      <c r="A108">
        <f>YEAR(Villa_Cortese_camera[[#This Row],[Data]])</f>
        <v>2006</v>
      </c>
      <c r="B108" s="1">
        <v>38816</v>
      </c>
      <c r="C108" s="2" t="s">
        <v>7</v>
      </c>
      <c r="D108" s="2" t="s">
        <v>8</v>
      </c>
      <c r="E108" s="2" t="s">
        <v>103</v>
      </c>
      <c r="F108" s="2" t="s">
        <v>104</v>
      </c>
      <c r="G108">
        <v>1135</v>
      </c>
      <c r="H108">
        <v>25.81</v>
      </c>
    </row>
    <row r="109" spans="1:8" x14ac:dyDescent="0.25">
      <c r="A109">
        <f>YEAR(Villa_Cortese_camera[[#This Row],[Data]])</f>
        <v>2006</v>
      </c>
      <c r="B109" s="1">
        <v>38816</v>
      </c>
      <c r="C109" s="2" t="s">
        <v>7</v>
      </c>
      <c r="D109" s="2" t="s">
        <v>8</v>
      </c>
      <c r="E109" s="2" t="s">
        <v>103</v>
      </c>
      <c r="F109" s="2" t="s">
        <v>105</v>
      </c>
      <c r="G109">
        <v>234</v>
      </c>
      <c r="H109">
        <v>5.32</v>
      </c>
    </row>
    <row r="110" spans="1:8" x14ac:dyDescent="0.25">
      <c r="A110">
        <f>YEAR(Villa_Cortese_camera[[#This Row],[Data]])</f>
        <v>2006</v>
      </c>
      <c r="B110" s="1">
        <v>38816</v>
      </c>
      <c r="C110" s="2" t="s">
        <v>7</v>
      </c>
      <c r="D110" s="2" t="s">
        <v>8</v>
      </c>
      <c r="E110" s="2" t="s">
        <v>103</v>
      </c>
      <c r="F110" s="2" t="s">
        <v>106</v>
      </c>
      <c r="G110">
        <v>136</v>
      </c>
      <c r="H110">
        <v>3.09</v>
      </c>
    </row>
    <row r="111" spans="1:8" x14ac:dyDescent="0.25">
      <c r="A111">
        <f>YEAR(Villa_Cortese_camera[[#This Row],[Data]])</f>
        <v>2006</v>
      </c>
      <c r="B111" s="1">
        <v>38816</v>
      </c>
      <c r="C111" s="2" t="s">
        <v>7</v>
      </c>
      <c r="D111" s="2" t="s">
        <v>8</v>
      </c>
      <c r="E111" s="2" t="s">
        <v>103</v>
      </c>
      <c r="F111" s="2" t="s">
        <v>85</v>
      </c>
      <c r="G111">
        <v>133</v>
      </c>
      <c r="H111">
        <v>3.02</v>
      </c>
    </row>
    <row r="112" spans="1:8" x14ac:dyDescent="0.25">
      <c r="A112">
        <f>YEAR(Villa_Cortese_camera[[#This Row],[Data]])</f>
        <v>2006</v>
      </c>
      <c r="B112" s="1">
        <v>38816</v>
      </c>
      <c r="C112" s="2" t="s">
        <v>7</v>
      </c>
      <c r="D112" s="2" t="s">
        <v>8</v>
      </c>
      <c r="E112" s="2" t="s">
        <v>103</v>
      </c>
      <c r="F112" s="2" t="s">
        <v>107</v>
      </c>
      <c r="G112">
        <v>92</v>
      </c>
      <c r="H112">
        <v>2.09</v>
      </c>
    </row>
    <row r="113" spans="1:8" x14ac:dyDescent="0.25">
      <c r="A113">
        <f>YEAR(Villa_Cortese_camera[[#This Row],[Data]])</f>
        <v>2006</v>
      </c>
      <c r="B113" s="1">
        <v>38816</v>
      </c>
      <c r="C113" s="2" t="s">
        <v>7</v>
      </c>
      <c r="D113" s="2" t="s">
        <v>8</v>
      </c>
      <c r="E113" s="2" t="s">
        <v>103</v>
      </c>
      <c r="F113" s="2" t="s">
        <v>108</v>
      </c>
      <c r="G113">
        <v>91</v>
      </c>
      <c r="H113">
        <v>2.0699999999999998</v>
      </c>
    </row>
    <row r="114" spans="1:8" x14ac:dyDescent="0.25">
      <c r="A114">
        <f>YEAR(Villa_Cortese_camera[[#This Row],[Data]])</f>
        <v>2006</v>
      </c>
      <c r="B114" s="1">
        <v>38816</v>
      </c>
      <c r="C114" s="2" t="s">
        <v>7</v>
      </c>
      <c r="D114" s="2" t="s">
        <v>8</v>
      </c>
      <c r="E114" s="2" t="s">
        <v>103</v>
      </c>
      <c r="F114" s="2" t="s">
        <v>109</v>
      </c>
      <c r="G114">
        <v>75</v>
      </c>
      <c r="H114">
        <v>1.71</v>
      </c>
    </row>
    <row r="115" spans="1:8" x14ac:dyDescent="0.25">
      <c r="A115">
        <f>YEAR(Villa_Cortese_camera[[#This Row],[Data]])</f>
        <v>2006</v>
      </c>
      <c r="B115" s="1">
        <v>38816</v>
      </c>
      <c r="C115" s="2" t="s">
        <v>7</v>
      </c>
      <c r="D115" s="2" t="s">
        <v>8</v>
      </c>
      <c r="E115" s="2" t="s">
        <v>103</v>
      </c>
      <c r="F115" s="2" t="s">
        <v>110</v>
      </c>
      <c r="G115">
        <v>22</v>
      </c>
      <c r="H115">
        <v>0.5</v>
      </c>
    </row>
    <row r="116" spans="1:8" x14ac:dyDescent="0.25">
      <c r="A116">
        <f>YEAR(Villa_Cortese_camera[[#This Row],[Data]])</f>
        <v>2006</v>
      </c>
      <c r="B116" s="1">
        <v>38816</v>
      </c>
      <c r="C116" s="2" t="s">
        <v>7</v>
      </c>
      <c r="D116" s="2" t="s">
        <v>8</v>
      </c>
      <c r="E116" s="2" t="s">
        <v>111</v>
      </c>
      <c r="F116" s="2" t="s">
        <v>10</v>
      </c>
    </row>
    <row r="117" spans="1:8" x14ac:dyDescent="0.25">
      <c r="A117">
        <f>YEAR(Villa_Cortese_camera[[#This Row],[Data]])</f>
        <v>2006</v>
      </c>
      <c r="B117" s="1">
        <v>38816</v>
      </c>
      <c r="C117" s="2" t="s">
        <v>7</v>
      </c>
      <c r="D117" s="2" t="s">
        <v>8</v>
      </c>
      <c r="E117" s="2" t="s">
        <v>111</v>
      </c>
      <c r="F117" s="2" t="s">
        <v>13</v>
      </c>
      <c r="G117">
        <v>1163</v>
      </c>
      <c r="H117">
        <v>26.44</v>
      </c>
    </row>
    <row r="118" spans="1:8" x14ac:dyDescent="0.25">
      <c r="A118">
        <f>YEAR(Villa_Cortese_camera[[#This Row],[Data]])</f>
        <v>2006</v>
      </c>
      <c r="B118" s="1">
        <v>38816</v>
      </c>
      <c r="C118" s="2" t="s">
        <v>7</v>
      </c>
      <c r="D118" s="2" t="s">
        <v>8</v>
      </c>
      <c r="E118" s="2" t="s">
        <v>111</v>
      </c>
      <c r="F118" s="2" t="s">
        <v>59</v>
      </c>
      <c r="G118">
        <v>542</v>
      </c>
      <c r="H118">
        <v>12.32</v>
      </c>
    </row>
    <row r="119" spans="1:8" x14ac:dyDescent="0.25">
      <c r="A119">
        <f>YEAR(Villa_Cortese_camera[[#This Row],[Data]])</f>
        <v>2006</v>
      </c>
      <c r="B119" s="1">
        <v>38816</v>
      </c>
      <c r="C119" s="2" t="s">
        <v>7</v>
      </c>
      <c r="D119" s="2" t="s">
        <v>8</v>
      </c>
      <c r="E119" s="2" t="s">
        <v>111</v>
      </c>
      <c r="F119" s="2" t="s">
        <v>112</v>
      </c>
      <c r="G119">
        <v>406</v>
      </c>
      <c r="H119">
        <v>9.23</v>
      </c>
    </row>
    <row r="120" spans="1:8" x14ac:dyDescent="0.25">
      <c r="A120">
        <f>YEAR(Villa_Cortese_camera[[#This Row],[Data]])</f>
        <v>2006</v>
      </c>
      <c r="B120" s="1">
        <v>38816</v>
      </c>
      <c r="C120" s="2" t="s">
        <v>7</v>
      </c>
      <c r="D120" s="2" t="s">
        <v>8</v>
      </c>
      <c r="E120" s="2" t="s">
        <v>111</v>
      </c>
      <c r="F120" s="2" t="s">
        <v>68</v>
      </c>
      <c r="G120">
        <v>258</v>
      </c>
      <c r="H120">
        <v>5.87</v>
      </c>
    </row>
    <row r="121" spans="1:8" x14ac:dyDescent="0.25">
      <c r="A121">
        <f>YEAR(Villa_Cortese_camera[[#This Row],[Data]])</f>
        <v>2006</v>
      </c>
      <c r="B121" s="1">
        <v>38816</v>
      </c>
      <c r="C121" s="2" t="s">
        <v>7</v>
      </c>
      <c r="D121" s="2" t="s">
        <v>8</v>
      </c>
      <c r="E121" s="2" t="s">
        <v>111</v>
      </c>
      <c r="F121" s="2" t="s">
        <v>113</v>
      </c>
      <c r="G121">
        <v>32</v>
      </c>
      <c r="H121">
        <v>0.73</v>
      </c>
    </row>
    <row r="122" spans="1:8" x14ac:dyDescent="0.25">
      <c r="A122">
        <f>YEAR(Villa_Cortese_camera[[#This Row],[Data]])</f>
        <v>2006</v>
      </c>
      <c r="B122" s="1">
        <v>38816</v>
      </c>
      <c r="C122" s="2" t="s">
        <v>7</v>
      </c>
      <c r="D122" s="2" t="s">
        <v>8</v>
      </c>
      <c r="E122" s="2" t="s">
        <v>111</v>
      </c>
      <c r="F122" s="2" t="s">
        <v>114</v>
      </c>
      <c r="G122">
        <v>32</v>
      </c>
      <c r="H122">
        <v>0.73</v>
      </c>
    </row>
    <row r="123" spans="1:8" x14ac:dyDescent="0.25">
      <c r="A123">
        <f>YEAR(Villa_Cortese_camera[[#This Row],[Data]])</f>
        <v>2006</v>
      </c>
      <c r="B123" s="1">
        <v>38816</v>
      </c>
      <c r="C123" s="2" t="s">
        <v>7</v>
      </c>
      <c r="D123" s="2" t="s">
        <v>8</v>
      </c>
      <c r="E123" s="2" t="s">
        <v>111</v>
      </c>
      <c r="F123" s="2" t="s">
        <v>115</v>
      </c>
      <c r="G123">
        <v>27</v>
      </c>
      <c r="H123">
        <v>0.61</v>
      </c>
    </row>
    <row r="124" spans="1:8" x14ac:dyDescent="0.25">
      <c r="A124">
        <f>YEAR(Villa_Cortese_camera[[#This Row],[Data]])</f>
        <v>2006</v>
      </c>
      <c r="B124" s="1">
        <v>38816</v>
      </c>
      <c r="C124" s="2" t="s">
        <v>7</v>
      </c>
      <c r="D124" s="2" t="s">
        <v>8</v>
      </c>
      <c r="E124" s="2" t="s">
        <v>111</v>
      </c>
      <c r="F124" s="2" t="s">
        <v>116</v>
      </c>
      <c r="G124">
        <v>20</v>
      </c>
      <c r="H124">
        <v>0.45</v>
      </c>
    </row>
    <row r="125" spans="1:8" x14ac:dyDescent="0.25">
      <c r="A125">
        <f>YEAR(Villa_Cortese_camera[[#This Row],[Data]])</f>
        <v>2001</v>
      </c>
      <c r="B125" s="1">
        <v>37024</v>
      </c>
      <c r="C125" s="2" t="s">
        <v>7</v>
      </c>
      <c r="D125" s="2" t="s">
        <v>8</v>
      </c>
      <c r="E125" s="2" t="s">
        <v>117</v>
      </c>
      <c r="F125" s="2" t="s">
        <v>13</v>
      </c>
      <c r="G125">
        <v>1445</v>
      </c>
      <c r="H125">
        <v>33.5</v>
      </c>
    </row>
    <row r="126" spans="1:8" x14ac:dyDescent="0.25">
      <c r="A126">
        <f>YEAR(Villa_Cortese_camera[[#This Row],[Data]])</f>
        <v>2001</v>
      </c>
      <c r="B126" s="1">
        <v>37024</v>
      </c>
      <c r="C126" s="2" t="s">
        <v>7</v>
      </c>
      <c r="D126" s="2" t="s">
        <v>8</v>
      </c>
      <c r="E126" s="2" t="s">
        <v>117</v>
      </c>
      <c r="F126" s="2" t="s">
        <v>118</v>
      </c>
      <c r="G126">
        <v>829</v>
      </c>
      <c r="H126">
        <v>19.22</v>
      </c>
    </row>
    <row r="127" spans="1:8" x14ac:dyDescent="0.25">
      <c r="A127">
        <f>YEAR(Villa_Cortese_camera[[#This Row],[Data]])</f>
        <v>2001</v>
      </c>
      <c r="B127" s="1">
        <v>37024</v>
      </c>
      <c r="C127" s="2" t="s">
        <v>7</v>
      </c>
      <c r="D127" s="2" t="s">
        <v>8</v>
      </c>
      <c r="E127" s="2" t="s">
        <v>117</v>
      </c>
      <c r="F127" s="2" t="s">
        <v>59</v>
      </c>
      <c r="G127">
        <v>534</v>
      </c>
      <c r="H127">
        <v>12.38</v>
      </c>
    </row>
    <row r="128" spans="1:8" x14ac:dyDescent="0.25">
      <c r="A128">
        <f>YEAR(Villa_Cortese_camera[[#This Row],[Data]])</f>
        <v>2001</v>
      </c>
      <c r="B128" s="1">
        <v>37024</v>
      </c>
      <c r="C128" s="2" t="s">
        <v>7</v>
      </c>
      <c r="D128" s="2" t="s">
        <v>8</v>
      </c>
      <c r="E128" s="2" t="s">
        <v>117</v>
      </c>
      <c r="F128" s="2" t="s">
        <v>119</v>
      </c>
      <c r="G128">
        <v>387</v>
      </c>
      <c r="H128">
        <v>8.9700000000000006</v>
      </c>
    </row>
    <row r="129" spans="1:8" x14ac:dyDescent="0.25">
      <c r="A129">
        <f>YEAR(Villa_Cortese_camera[[#This Row],[Data]])</f>
        <v>2001</v>
      </c>
      <c r="B129" s="1">
        <v>37024</v>
      </c>
      <c r="C129" s="2" t="s">
        <v>7</v>
      </c>
      <c r="D129" s="2" t="s">
        <v>8</v>
      </c>
      <c r="E129" s="2" t="s">
        <v>117</v>
      </c>
      <c r="F129" s="2" t="s">
        <v>112</v>
      </c>
      <c r="G129">
        <v>257</v>
      </c>
      <c r="H129">
        <v>5.96</v>
      </c>
    </row>
    <row r="130" spans="1:8" x14ac:dyDescent="0.25">
      <c r="A130">
        <f>YEAR(Villa_Cortese_camera[[#This Row],[Data]])</f>
        <v>2001</v>
      </c>
      <c r="B130" s="1">
        <v>37024</v>
      </c>
      <c r="C130" s="2" t="s">
        <v>7</v>
      </c>
      <c r="D130" s="2" t="s">
        <v>8</v>
      </c>
      <c r="E130" s="2" t="s">
        <v>117</v>
      </c>
      <c r="F130" s="2" t="s">
        <v>105</v>
      </c>
      <c r="G130">
        <v>182</v>
      </c>
      <c r="H130">
        <v>4.22</v>
      </c>
    </row>
    <row r="131" spans="1:8" x14ac:dyDescent="0.25">
      <c r="A131">
        <f>YEAR(Villa_Cortese_camera[[#This Row],[Data]])</f>
        <v>2001</v>
      </c>
      <c r="B131" s="1">
        <v>37024</v>
      </c>
      <c r="C131" s="2" t="s">
        <v>7</v>
      </c>
      <c r="D131" s="2" t="s">
        <v>8</v>
      </c>
      <c r="E131" s="2" t="s">
        <v>117</v>
      </c>
      <c r="F131" s="2" t="s">
        <v>120</v>
      </c>
      <c r="G131">
        <v>173</v>
      </c>
      <c r="H131">
        <v>4.01</v>
      </c>
    </row>
    <row r="132" spans="1:8" x14ac:dyDescent="0.25">
      <c r="A132">
        <f>YEAR(Villa_Cortese_camera[[#This Row],[Data]])</f>
        <v>2001</v>
      </c>
      <c r="B132" s="1">
        <v>37024</v>
      </c>
      <c r="C132" s="2" t="s">
        <v>7</v>
      </c>
      <c r="D132" s="2" t="s">
        <v>8</v>
      </c>
      <c r="E132" s="2" t="s">
        <v>117</v>
      </c>
      <c r="F132" s="2" t="s">
        <v>121</v>
      </c>
      <c r="G132">
        <v>117</v>
      </c>
      <c r="H132">
        <v>2.71</v>
      </c>
    </row>
    <row r="133" spans="1:8" x14ac:dyDescent="0.25">
      <c r="A133">
        <f>YEAR(Villa_Cortese_camera[[#This Row],[Data]])</f>
        <v>2001</v>
      </c>
      <c r="B133" s="1">
        <v>37024</v>
      </c>
      <c r="C133" s="2" t="s">
        <v>7</v>
      </c>
      <c r="D133" s="2" t="s">
        <v>8</v>
      </c>
      <c r="E133" s="2" t="s">
        <v>117</v>
      </c>
      <c r="F133" s="2" t="s">
        <v>122</v>
      </c>
      <c r="G133">
        <v>98</v>
      </c>
      <c r="H133">
        <v>2.27</v>
      </c>
    </row>
    <row r="134" spans="1:8" x14ac:dyDescent="0.25">
      <c r="A134">
        <f>YEAR(Villa_Cortese_camera[[#This Row],[Data]])</f>
        <v>2001</v>
      </c>
      <c r="B134" s="1">
        <v>37024</v>
      </c>
      <c r="C134" s="2" t="s">
        <v>7</v>
      </c>
      <c r="D134" s="2" t="s">
        <v>8</v>
      </c>
      <c r="E134" s="2" t="s">
        <v>117</v>
      </c>
      <c r="F134" s="2" t="s">
        <v>123</v>
      </c>
      <c r="G134">
        <v>97</v>
      </c>
      <c r="H134">
        <v>2.25</v>
      </c>
    </row>
    <row r="135" spans="1:8" x14ac:dyDescent="0.25">
      <c r="A135">
        <f>YEAR(Villa_Cortese_camera[[#This Row],[Data]])</f>
        <v>2001</v>
      </c>
      <c r="B135" s="1">
        <v>37024</v>
      </c>
      <c r="C135" s="2" t="s">
        <v>7</v>
      </c>
      <c r="D135" s="2" t="s">
        <v>8</v>
      </c>
      <c r="E135" s="2" t="s">
        <v>117</v>
      </c>
      <c r="F135" s="2" t="s">
        <v>107</v>
      </c>
      <c r="G135">
        <v>85</v>
      </c>
      <c r="H135">
        <v>1.97</v>
      </c>
    </row>
    <row r="136" spans="1:8" x14ac:dyDescent="0.25">
      <c r="A136">
        <f>YEAR(Villa_Cortese_camera[[#This Row],[Data]])</f>
        <v>2001</v>
      </c>
      <c r="B136" s="1">
        <v>37024</v>
      </c>
      <c r="C136" s="2" t="s">
        <v>7</v>
      </c>
      <c r="D136" s="2" t="s">
        <v>8</v>
      </c>
      <c r="E136" s="2" t="s">
        <v>117</v>
      </c>
      <c r="F136" s="2" t="s">
        <v>108</v>
      </c>
      <c r="G136">
        <v>63</v>
      </c>
      <c r="H136">
        <v>1.46</v>
      </c>
    </row>
    <row r="137" spans="1:8" x14ac:dyDescent="0.25">
      <c r="A137">
        <f>YEAR(Villa_Cortese_camera[[#This Row],[Data]])</f>
        <v>2001</v>
      </c>
      <c r="B137" s="1">
        <v>37024</v>
      </c>
      <c r="C137" s="2" t="s">
        <v>7</v>
      </c>
      <c r="D137" s="2" t="s">
        <v>8</v>
      </c>
      <c r="E137" s="2" t="s">
        <v>117</v>
      </c>
      <c r="F137" s="2" t="s">
        <v>124</v>
      </c>
      <c r="G137">
        <v>40</v>
      </c>
      <c r="H137">
        <v>0.93</v>
      </c>
    </row>
    <row r="138" spans="1:8" x14ac:dyDescent="0.25">
      <c r="A138">
        <f>YEAR(Villa_Cortese_camera[[#This Row],[Data]])</f>
        <v>2001</v>
      </c>
      <c r="B138" s="1">
        <v>37024</v>
      </c>
      <c r="C138" s="2" t="s">
        <v>7</v>
      </c>
      <c r="D138" s="2" t="s">
        <v>8</v>
      </c>
      <c r="E138" s="2" t="s">
        <v>117</v>
      </c>
      <c r="F138" s="2" t="s">
        <v>125</v>
      </c>
      <c r="G138">
        <v>7</v>
      </c>
      <c r="H138">
        <v>0.16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49AE72-87EE-452C-BF07-23E7FF0A33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Villa_Cortese_camera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Marchiori</dc:creator>
  <cp:lastModifiedBy>Luca Marchiori</cp:lastModifiedBy>
  <dcterms:created xsi:type="dcterms:W3CDTF">2026-05-08T16:38:09Z</dcterms:created>
  <dcterms:modified xsi:type="dcterms:W3CDTF">2026-05-09T11:05:55Z</dcterms:modified>
</cp:coreProperties>
</file>